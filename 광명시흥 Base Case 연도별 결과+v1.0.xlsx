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JW\Downloads\"/>
    </mc:Choice>
  </mc:AlternateContent>
  <xr:revisionPtr revIDLastSave="0" documentId="13_ncr:1_{7F16D2D3-9673-4B28-B4F8-6087450C5951}" xr6:coauthVersionLast="47" xr6:coauthVersionMax="47" xr10:uidLastSave="{00000000-0000-0000-0000-000000000000}"/>
  <bookViews>
    <workbookView xWindow="-120" yWindow="-120" windowWidth="29040" windowHeight="15720" xr2:uid="{E7807FE0-8E99-469D-AB4A-4BE536531021}"/>
  </bookViews>
  <sheets>
    <sheet name="발전량" sheetId="10" r:id="rId1"/>
    <sheet name="송전량" sheetId="9" r:id="rId2"/>
    <sheet name="이용률" sheetId="8" r:id="rId3"/>
    <sheet name="연료사용량" sheetId="7" r:id="rId4"/>
    <sheet name="발전비용" sheetId="6" r:id="rId5"/>
    <sheet name="정산금" sheetId="4" r:id="rId6"/>
    <sheet name="SMP" sheetId="5" r:id="rId7"/>
  </sheets>
  <definedNames>
    <definedName name="_xlnm._FilterDatabase" localSheetId="0" hidden="1">발전량!$A$2:$C$32</definedName>
    <definedName name="_xlnm._FilterDatabase" localSheetId="4" hidden="1">발전비용!$A$2:$C$32</definedName>
    <definedName name="_xlnm._FilterDatabase" localSheetId="1" hidden="1">송전량!$A$2:$C$32</definedName>
    <definedName name="_xlnm._FilterDatabase" localSheetId="3" hidden="1">연료사용량!$A$2:$C$32</definedName>
    <definedName name="_xlnm._FilterDatabase" localSheetId="2" hidden="1">이용률!$A$2:$C$32</definedName>
    <definedName name="_xlnm._FilterDatabase" localSheetId="5" hidden="1">정산금!$A$2:$F$32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7" l="1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" i="7"/>
  <c r="B33" i="8"/>
</calcChain>
</file>

<file path=xl/sharedStrings.xml><?xml version="1.0" encoding="utf-8"?>
<sst xmlns="http://schemas.openxmlformats.org/spreadsheetml/2006/main" count="183" uniqueCount="41">
  <si>
    <t>연도</t>
  </si>
  <si>
    <t>광명시흥CC</t>
  </si>
  <si>
    <t>경인(SMP)</t>
  </si>
  <si>
    <t>비경인(SMP)</t>
  </si>
  <si>
    <t>제주(SMP)</t>
  </si>
  <si>
    <t>최대값</t>
  </si>
  <si>
    <t>자원명</t>
  </si>
  <si>
    <t>최소값</t>
  </si>
  <si>
    <t>평균값</t>
  </si>
  <si>
    <t>가중평균값</t>
  </si>
  <si>
    <t>포천천연복합1CC</t>
  </si>
  <si>
    <t>월성#3</t>
  </si>
  <si>
    <t>월성#4</t>
  </si>
  <si>
    <t>SMR#1-2</t>
  </si>
  <si>
    <t>제주LNG복합#1CC</t>
  </si>
  <si>
    <t>제주LNG복합#2CC</t>
  </si>
  <si>
    <t>당진#10</t>
  </si>
  <si>
    <t>새울#3</t>
  </si>
  <si>
    <t>신한울#3</t>
  </si>
  <si>
    <t>신한울#4</t>
  </si>
  <si>
    <t>노원열병합#1</t>
  </si>
  <si>
    <t>별내열병합CC</t>
  </si>
  <si>
    <t>양주열병합CC</t>
  </si>
  <si>
    <t>오성복합CC</t>
  </si>
  <si>
    <t>안산복합CC</t>
  </si>
  <si>
    <t>수완열병합CC</t>
  </si>
  <si>
    <t>동탄열병합2CC</t>
  </si>
  <si>
    <t>CP</t>
  </si>
  <si>
    <t>평균</t>
    <phoneticPr fontId="1" type="noConversion"/>
  </si>
  <si>
    <t>[MWh]</t>
    <phoneticPr fontId="1" type="noConversion"/>
  </si>
  <si>
    <t>[Mcal]</t>
    <phoneticPr fontId="1" type="noConversion"/>
  </si>
  <si>
    <t>[ton]</t>
    <phoneticPr fontId="1" type="noConversion"/>
  </si>
  <si>
    <t>적용발열량</t>
  </si>
  <si>
    <t>kcal/kg</t>
  </si>
  <si>
    <t>[%]</t>
    <phoneticPr fontId="1" type="noConversion"/>
  </si>
  <si>
    <t>[천 원]</t>
    <phoneticPr fontId="1" type="noConversion"/>
  </si>
  <si>
    <t>[원/kWh]</t>
    <phoneticPr fontId="1" type="noConversion"/>
  </si>
  <si>
    <t>MEP</t>
    <phoneticPr fontId="1" type="noConversion"/>
  </si>
  <si>
    <t>MAP</t>
    <phoneticPr fontId="1" type="noConversion"/>
  </si>
  <si>
    <t>MWP</t>
    <phoneticPr fontId="1" type="noConversion"/>
  </si>
  <si>
    <t>합계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</si>
</sst>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3" fontId="0" fillId="0" borderId="2" xfId="0" applyNumberFormat="1" applyBorder="1" applyAlignment="1">
      <alignment horizontal="center" vertical="center"/>
    </xf>
    <xf numFmtId="0" fontId="0" fillId="0" borderId="3" xfId="0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</cellXfs>
  <cellStyles count="2">
    <cellStyle name="쉼표 [0] 2" xfId="1" xr:uid="{D0E2D378-EEEF-4E7F-BAEC-5A75E149F063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BD647-02A3-46D7-9518-0627D4B1E667}">
  <dimension ref="A1:C32"/>
  <sheetViews>
    <sheetView tabSelected="1" workbookViewId="0">
      <selection activeCell="B1" sqref="B1"/>
    </sheetView>
  </sheetViews>
  <sheetFormatPr defaultRowHeight="16.5" x14ac:dyDescent="0.3"/>
  <cols>
    <col min="1" max="1" width="5.5" bestFit="1" customWidth="1"/>
    <col min="2" max="3" width="11.75" bestFit="1" customWidth="1"/>
  </cols>
  <sheetData>
    <row r="1" spans="1:3" x14ac:dyDescent="0.3">
      <c r="B1" s="6" t="s">
        <v>29</v>
      </c>
    </row>
    <row r="2" spans="1:3" x14ac:dyDescent="0.3">
      <c r="A2" s="5" t="s">
        <v>0</v>
      </c>
      <c r="B2" s="5" t="s">
        <v>1</v>
      </c>
      <c r="C2" s="1"/>
    </row>
    <row r="3" spans="1:3" x14ac:dyDescent="0.3">
      <c r="A3" s="3">
        <v>2032</v>
      </c>
      <c r="B3" s="4">
        <v>2833525.08</v>
      </c>
      <c r="C3" s="2"/>
    </row>
    <row r="4" spans="1:3" x14ac:dyDescent="0.3">
      <c r="A4" s="3">
        <v>2033</v>
      </c>
      <c r="B4" s="4">
        <v>2564822.87</v>
      </c>
      <c r="C4" s="2"/>
    </row>
    <row r="5" spans="1:3" x14ac:dyDescent="0.3">
      <c r="A5" s="3">
        <v>2034</v>
      </c>
      <c r="B5" s="4">
        <v>2326172.0099999998</v>
      </c>
      <c r="C5" s="2"/>
    </row>
    <row r="6" spans="1:3" x14ac:dyDescent="0.3">
      <c r="A6" s="3">
        <v>2035</v>
      </c>
      <c r="B6" s="4">
        <v>2466526.6</v>
      </c>
      <c r="C6" s="2"/>
    </row>
    <row r="7" spans="1:3" x14ac:dyDescent="0.3">
      <c r="A7" s="3">
        <v>2036</v>
      </c>
      <c r="B7" s="4">
        <v>2283824.77</v>
      </c>
      <c r="C7" s="2"/>
    </row>
    <row r="8" spans="1:3" x14ac:dyDescent="0.3">
      <c r="A8" s="3">
        <v>2037</v>
      </c>
      <c r="B8" s="4">
        <v>2008872.17</v>
      </c>
      <c r="C8" s="2"/>
    </row>
    <row r="9" spans="1:3" x14ac:dyDescent="0.3">
      <c r="A9" s="3">
        <v>2038</v>
      </c>
      <c r="B9" s="4">
        <v>1795541.77</v>
      </c>
      <c r="C9" s="2"/>
    </row>
    <row r="10" spans="1:3" x14ac:dyDescent="0.3">
      <c r="A10" s="3">
        <v>2039</v>
      </c>
      <c r="B10" s="4">
        <v>1489026.38</v>
      </c>
      <c r="C10" s="2"/>
    </row>
    <row r="11" spans="1:3" x14ac:dyDescent="0.3">
      <c r="A11" s="3">
        <v>2040</v>
      </c>
      <c r="B11" s="4">
        <v>1477717.36</v>
      </c>
      <c r="C11" s="2"/>
    </row>
    <row r="12" spans="1:3" x14ac:dyDescent="0.3">
      <c r="A12" s="3">
        <v>2041</v>
      </c>
      <c r="B12" s="4">
        <v>1656450.1</v>
      </c>
      <c r="C12" s="2"/>
    </row>
    <row r="13" spans="1:3" x14ac:dyDescent="0.3">
      <c r="A13" s="3">
        <v>2042</v>
      </c>
      <c r="B13" s="4">
        <v>1451765.84</v>
      </c>
      <c r="C13" s="2"/>
    </row>
    <row r="14" spans="1:3" x14ac:dyDescent="0.3">
      <c r="A14" s="3">
        <v>2043</v>
      </c>
      <c r="B14" s="4">
        <v>1619129.8</v>
      </c>
      <c r="C14" s="2"/>
    </row>
    <row r="15" spans="1:3" x14ac:dyDescent="0.3">
      <c r="A15" s="3">
        <v>2044</v>
      </c>
      <c r="B15" s="4">
        <v>1556135.89</v>
      </c>
      <c r="C15" s="2"/>
    </row>
    <row r="16" spans="1:3" x14ac:dyDescent="0.3">
      <c r="A16" s="3">
        <v>2045</v>
      </c>
      <c r="B16" s="4">
        <v>1458433.64</v>
      </c>
      <c r="C16" s="2"/>
    </row>
    <row r="17" spans="1:3" x14ac:dyDescent="0.3">
      <c r="A17" s="3">
        <v>2046</v>
      </c>
      <c r="B17" s="4">
        <v>1523483.91</v>
      </c>
      <c r="C17" s="2"/>
    </row>
    <row r="18" spans="1:3" x14ac:dyDescent="0.3">
      <c r="A18" s="3">
        <v>2047</v>
      </c>
      <c r="B18" s="4">
        <v>1367132.22</v>
      </c>
      <c r="C18" s="2"/>
    </row>
    <row r="19" spans="1:3" x14ac:dyDescent="0.3">
      <c r="A19" s="3">
        <v>2048</v>
      </c>
      <c r="B19" s="4">
        <v>1349191.33</v>
      </c>
      <c r="C19" s="2"/>
    </row>
    <row r="20" spans="1:3" x14ac:dyDescent="0.3">
      <c r="A20" s="3">
        <v>2049</v>
      </c>
      <c r="B20" s="4">
        <v>1318979.8999999999</v>
      </c>
      <c r="C20" s="2"/>
    </row>
    <row r="21" spans="1:3" x14ac:dyDescent="0.3">
      <c r="A21" s="3">
        <v>2050</v>
      </c>
      <c r="B21" s="4">
        <v>1372395.37</v>
      </c>
      <c r="C21" s="2"/>
    </row>
    <row r="22" spans="1:3" x14ac:dyDescent="0.3">
      <c r="A22" s="3">
        <v>2051</v>
      </c>
      <c r="B22" s="4">
        <v>1404105.39</v>
      </c>
      <c r="C22" s="2"/>
    </row>
    <row r="23" spans="1:3" x14ac:dyDescent="0.3">
      <c r="A23" s="3">
        <v>2052</v>
      </c>
      <c r="B23" s="4">
        <v>1536944.6</v>
      </c>
      <c r="C23" s="2"/>
    </row>
    <row r="24" spans="1:3" x14ac:dyDescent="0.3">
      <c r="A24" s="3">
        <v>2053</v>
      </c>
      <c r="B24" s="4">
        <v>1375284.7</v>
      </c>
      <c r="C24" s="2"/>
    </row>
    <row r="25" spans="1:3" x14ac:dyDescent="0.3">
      <c r="A25" s="3">
        <v>2054</v>
      </c>
      <c r="B25" s="4">
        <v>1570599.7</v>
      </c>
      <c r="C25" s="2"/>
    </row>
    <row r="26" spans="1:3" x14ac:dyDescent="0.3">
      <c r="A26" s="3">
        <v>2055</v>
      </c>
      <c r="B26" s="4">
        <v>1873472.34</v>
      </c>
      <c r="C26" s="2"/>
    </row>
    <row r="27" spans="1:3" x14ac:dyDescent="0.3">
      <c r="A27" s="3">
        <v>2056</v>
      </c>
      <c r="B27" s="4">
        <v>1943092.3</v>
      </c>
      <c r="C27" s="2"/>
    </row>
    <row r="28" spans="1:3" x14ac:dyDescent="0.3">
      <c r="A28" s="3">
        <v>2057</v>
      </c>
      <c r="B28" s="4">
        <v>1846265</v>
      </c>
      <c r="C28" s="2"/>
    </row>
    <row r="29" spans="1:3" x14ac:dyDescent="0.3">
      <c r="A29" s="3">
        <v>2058</v>
      </c>
      <c r="B29" s="4">
        <v>1688229.12</v>
      </c>
      <c r="C29" s="2"/>
    </row>
    <row r="30" spans="1:3" x14ac:dyDescent="0.3">
      <c r="A30" s="3">
        <v>2059</v>
      </c>
      <c r="B30" s="4">
        <v>1675948.43</v>
      </c>
      <c r="C30" s="2"/>
    </row>
    <row r="31" spans="1:3" x14ac:dyDescent="0.3">
      <c r="A31" s="3">
        <v>2060</v>
      </c>
      <c r="B31" s="4">
        <v>1802165.48</v>
      </c>
      <c r="C31" s="2"/>
    </row>
    <row r="32" spans="1:3" x14ac:dyDescent="0.3">
      <c r="A32" s="3">
        <v>2061</v>
      </c>
      <c r="B32" s="4">
        <v>1625768.26</v>
      </c>
      <c r="C32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AF493-0662-47D4-A30F-E36346333A60}">
  <dimension ref="A1:C32"/>
  <sheetViews>
    <sheetView workbookViewId="0">
      <selection activeCell="B1" sqref="B1"/>
    </sheetView>
  </sheetViews>
  <sheetFormatPr defaultRowHeight="16.5" x14ac:dyDescent="0.3"/>
  <cols>
    <col min="1" max="1" width="5.5" bestFit="1" customWidth="1"/>
    <col min="2" max="3" width="11.75" bestFit="1" customWidth="1"/>
  </cols>
  <sheetData>
    <row r="1" spans="1:3" x14ac:dyDescent="0.3">
      <c r="B1" s="6" t="s">
        <v>29</v>
      </c>
    </row>
    <row r="2" spans="1:3" x14ac:dyDescent="0.3">
      <c r="A2" s="5" t="s">
        <v>0</v>
      </c>
      <c r="B2" s="5" t="s">
        <v>1</v>
      </c>
      <c r="C2" s="1"/>
    </row>
    <row r="3" spans="1:3" x14ac:dyDescent="0.3">
      <c r="A3" s="3">
        <v>2032</v>
      </c>
      <c r="B3" s="4">
        <v>2717410.47</v>
      </c>
      <c r="C3" s="2"/>
    </row>
    <row r="4" spans="1:3" x14ac:dyDescent="0.3">
      <c r="A4" s="3">
        <v>2033</v>
      </c>
      <c r="B4" s="4">
        <v>2458949.5099999998</v>
      </c>
      <c r="C4" s="2"/>
    </row>
    <row r="5" spans="1:3" x14ac:dyDescent="0.3">
      <c r="A5" s="3">
        <v>2034</v>
      </c>
      <c r="B5" s="4">
        <v>2229764.38</v>
      </c>
      <c r="C5" s="2"/>
    </row>
    <row r="6" spans="1:3" x14ac:dyDescent="0.3">
      <c r="A6" s="3">
        <v>2035</v>
      </c>
      <c r="B6" s="4">
        <v>2364542.88</v>
      </c>
      <c r="C6" s="2"/>
    </row>
    <row r="7" spans="1:3" x14ac:dyDescent="0.3">
      <c r="A7" s="3">
        <v>2036</v>
      </c>
      <c r="B7" s="4">
        <v>2189095</v>
      </c>
      <c r="C7" s="2"/>
    </row>
    <row r="8" spans="1:3" x14ac:dyDescent="0.3">
      <c r="A8" s="3">
        <v>2037</v>
      </c>
      <c r="B8" s="4">
        <v>1925645.28</v>
      </c>
      <c r="C8" s="2"/>
    </row>
    <row r="9" spans="1:3" x14ac:dyDescent="0.3">
      <c r="A9" s="3">
        <v>2038</v>
      </c>
      <c r="B9" s="4">
        <v>1720666.1</v>
      </c>
      <c r="C9" s="2"/>
    </row>
    <row r="10" spans="1:3" x14ac:dyDescent="0.3">
      <c r="A10" s="3">
        <v>2039</v>
      </c>
      <c r="B10" s="4">
        <v>1426727.27</v>
      </c>
      <c r="C10" s="2"/>
    </row>
    <row r="11" spans="1:3" x14ac:dyDescent="0.3">
      <c r="A11" s="3">
        <v>2040</v>
      </c>
      <c r="B11" s="4">
        <v>1416150.72</v>
      </c>
      <c r="C11" s="2"/>
    </row>
    <row r="12" spans="1:3" x14ac:dyDescent="0.3">
      <c r="A12" s="3">
        <v>2041</v>
      </c>
      <c r="B12" s="4">
        <v>1587627.36</v>
      </c>
      <c r="C12" s="2"/>
    </row>
    <row r="13" spans="1:3" x14ac:dyDescent="0.3">
      <c r="A13" s="3">
        <v>2042</v>
      </c>
      <c r="B13" s="4">
        <v>1391209.06</v>
      </c>
      <c r="C13" s="2"/>
    </row>
    <row r="14" spans="1:3" x14ac:dyDescent="0.3">
      <c r="A14" s="3">
        <v>2043</v>
      </c>
      <c r="B14" s="4">
        <v>1551899.68</v>
      </c>
      <c r="C14" s="2"/>
    </row>
    <row r="15" spans="1:3" x14ac:dyDescent="0.3">
      <c r="A15" s="3">
        <v>2044</v>
      </c>
      <c r="B15" s="4">
        <v>1491312.04</v>
      </c>
      <c r="C15" s="2"/>
    </row>
    <row r="16" spans="1:3" x14ac:dyDescent="0.3">
      <c r="A16" s="3">
        <v>2045</v>
      </c>
      <c r="B16" s="4">
        <v>1397966.48</v>
      </c>
      <c r="C16" s="2"/>
    </row>
    <row r="17" spans="1:3" x14ac:dyDescent="0.3">
      <c r="A17" s="3">
        <v>2046</v>
      </c>
      <c r="B17" s="4">
        <v>1460138.78</v>
      </c>
      <c r="C17" s="2"/>
    </row>
    <row r="18" spans="1:3" x14ac:dyDescent="0.3">
      <c r="A18" s="3">
        <v>2047</v>
      </c>
      <c r="B18" s="4">
        <v>1310178.96</v>
      </c>
      <c r="C18" s="2"/>
    </row>
    <row r="19" spans="1:3" x14ac:dyDescent="0.3">
      <c r="A19" s="3">
        <v>2048</v>
      </c>
      <c r="B19" s="4">
        <v>1292830.73</v>
      </c>
      <c r="C19" s="2"/>
    </row>
    <row r="20" spans="1:3" x14ac:dyDescent="0.3">
      <c r="A20" s="3">
        <v>2049</v>
      </c>
      <c r="B20" s="4">
        <v>1263783.47</v>
      </c>
      <c r="C20" s="2"/>
    </row>
    <row r="21" spans="1:3" x14ac:dyDescent="0.3">
      <c r="A21" s="3">
        <v>2050</v>
      </c>
      <c r="B21" s="4">
        <v>1314970.23</v>
      </c>
      <c r="C21" s="2"/>
    </row>
    <row r="22" spans="1:3" x14ac:dyDescent="0.3">
      <c r="A22" s="3">
        <v>2051</v>
      </c>
      <c r="B22" s="4">
        <v>1345441.31</v>
      </c>
      <c r="C22" s="2"/>
    </row>
    <row r="23" spans="1:3" x14ac:dyDescent="0.3">
      <c r="A23" s="3">
        <v>2052</v>
      </c>
      <c r="B23" s="4">
        <v>1472566.16</v>
      </c>
      <c r="C23" s="2"/>
    </row>
    <row r="24" spans="1:3" x14ac:dyDescent="0.3">
      <c r="A24" s="3">
        <v>2053</v>
      </c>
      <c r="B24" s="4">
        <v>1317758.08</v>
      </c>
      <c r="C24" s="2"/>
    </row>
    <row r="25" spans="1:3" x14ac:dyDescent="0.3">
      <c r="A25" s="3">
        <v>2054</v>
      </c>
      <c r="B25" s="4">
        <v>1505004.73</v>
      </c>
      <c r="C25" s="2"/>
    </row>
    <row r="26" spans="1:3" x14ac:dyDescent="0.3">
      <c r="A26" s="3">
        <v>2055</v>
      </c>
      <c r="B26" s="4">
        <v>1794967.11</v>
      </c>
      <c r="C26" s="2"/>
    </row>
    <row r="27" spans="1:3" x14ac:dyDescent="0.3">
      <c r="A27" s="3">
        <v>2056</v>
      </c>
      <c r="B27" s="4">
        <v>1861629.58</v>
      </c>
      <c r="C27" s="2"/>
    </row>
    <row r="28" spans="1:3" x14ac:dyDescent="0.3">
      <c r="A28" s="3">
        <v>2057</v>
      </c>
      <c r="B28" s="4">
        <v>1768711.75</v>
      </c>
      <c r="C28" s="2"/>
    </row>
    <row r="29" spans="1:3" x14ac:dyDescent="0.3">
      <c r="A29" s="3">
        <v>2058</v>
      </c>
      <c r="B29" s="4">
        <v>1617821.84</v>
      </c>
      <c r="C29" s="2"/>
    </row>
    <row r="30" spans="1:3" x14ac:dyDescent="0.3">
      <c r="A30" s="3">
        <v>2059</v>
      </c>
      <c r="B30" s="4">
        <v>1605840.97</v>
      </c>
      <c r="C30" s="2"/>
    </row>
    <row r="31" spans="1:3" x14ac:dyDescent="0.3">
      <c r="A31" s="3">
        <v>2060</v>
      </c>
      <c r="B31" s="4">
        <v>1726747.59</v>
      </c>
      <c r="C31" s="2"/>
    </row>
    <row r="32" spans="1:3" x14ac:dyDescent="0.3">
      <c r="A32" s="3">
        <v>2061</v>
      </c>
      <c r="B32" s="4">
        <v>1557710.03</v>
      </c>
      <c r="C32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10BE7-AB23-4A76-8BDC-03A40DFABD65}">
  <dimension ref="A1:C33"/>
  <sheetViews>
    <sheetView workbookViewId="0">
      <selection activeCell="B1" sqref="B1"/>
    </sheetView>
  </sheetViews>
  <sheetFormatPr defaultRowHeight="16.5" x14ac:dyDescent="0.3"/>
  <cols>
    <col min="1" max="1" width="5.5" bestFit="1" customWidth="1"/>
    <col min="2" max="2" width="11.625" bestFit="1" customWidth="1"/>
    <col min="3" max="3" width="6.5" bestFit="1" customWidth="1"/>
  </cols>
  <sheetData>
    <row r="1" spans="1:3" x14ac:dyDescent="0.3">
      <c r="B1" s="6" t="s">
        <v>34</v>
      </c>
    </row>
    <row r="2" spans="1:3" x14ac:dyDescent="0.3">
      <c r="A2" s="5" t="s">
        <v>0</v>
      </c>
      <c r="B2" s="5" t="s">
        <v>1</v>
      </c>
      <c r="C2" s="1"/>
    </row>
    <row r="3" spans="1:3" x14ac:dyDescent="0.3">
      <c r="A3" s="3">
        <v>2032</v>
      </c>
      <c r="B3" s="3">
        <v>63.81</v>
      </c>
      <c r="C3" s="1"/>
    </row>
    <row r="4" spans="1:3" x14ac:dyDescent="0.3">
      <c r="A4" s="3">
        <v>2033</v>
      </c>
      <c r="B4" s="3">
        <v>57.92</v>
      </c>
      <c r="C4" s="1"/>
    </row>
    <row r="5" spans="1:3" x14ac:dyDescent="0.3">
      <c r="A5" s="3">
        <v>2034</v>
      </c>
      <c r="B5" s="3">
        <v>52.53</v>
      </c>
      <c r="C5" s="1"/>
    </row>
    <row r="6" spans="1:3" x14ac:dyDescent="0.3">
      <c r="A6" s="3">
        <v>2035</v>
      </c>
      <c r="B6" s="3">
        <v>55.7</v>
      </c>
      <c r="C6" s="1"/>
    </row>
    <row r="7" spans="1:3" x14ac:dyDescent="0.3">
      <c r="A7" s="3">
        <v>2036</v>
      </c>
      <c r="B7" s="3">
        <v>51.43</v>
      </c>
      <c r="C7" s="1"/>
    </row>
    <row r="8" spans="1:3" x14ac:dyDescent="0.3">
      <c r="A8" s="3">
        <v>2037</v>
      </c>
      <c r="B8" s="3">
        <v>45.36</v>
      </c>
      <c r="C8" s="1"/>
    </row>
    <row r="9" spans="1:3" x14ac:dyDescent="0.3">
      <c r="A9" s="3">
        <v>2038</v>
      </c>
      <c r="B9" s="3">
        <v>40.549999999999997</v>
      </c>
      <c r="C9" s="1"/>
    </row>
    <row r="10" spans="1:3" x14ac:dyDescent="0.3">
      <c r="A10" s="3">
        <v>2039</v>
      </c>
      <c r="B10" s="3">
        <v>33.619999999999997</v>
      </c>
      <c r="C10" s="1"/>
    </row>
    <row r="11" spans="1:3" x14ac:dyDescent="0.3">
      <c r="A11" s="3">
        <v>2040</v>
      </c>
      <c r="B11" s="3">
        <v>33.28</v>
      </c>
      <c r="C11" s="1"/>
    </row>
    <row r="12" spans="1:3" x14ac:dyDescent="0.3">
      <c r="A12" s="3">
        <v>2041</v>
      </c>
      <c r="B12" s="3">
        <v>37.409999999999997</v>
      </c>
      <c r="C12" s="1"/>
    </row>
    <row r="13" spans="1:3" x14ac:dyDescent="0.3">
      <c r="A13" s="3">
        <v>2042</v>
      </c>
      <c r="B13" s="3">
        <v>32.78</v>
      </c>
      <c r="C13" s="1"/>
    </row>
    <row r="14" spans="1:3" x14ac:dyDescent="0.3">
      <c r="A14" s="3">
        <v>2043</v>
      </c>
      <c r="B14" s="3">
        <v>36.56</v>
      </c>
      <c r="C14" s="1"/>
    </row>
    <row r="15" spans="1:3" x14ac:dyDescent="0.3">
      <c r="A15" s="3">
        <v>2044</v>
      </c>
      <c r="B15" s="3">
        <v>35.04</v>
      </c>
      <c r="C15" s="1"/>
    </row>
    <row r="16" spans="1:3" x14ac:dyDescent="0.3">
      <c r="A16" s="3">
        <v>2045</v>
      </c>
      <c r="B16" s="3">
        <v>32.93</v>
      </c>
      <c r="C16" s="1"/>
    </row>
    <row r="17" spans="1:3" x14ac:dyDescent="0.3">
      <c r="A17" s="3">
        <v>2046</v>
      </c>
      <c r="B17" s="3">
        <v>34.4</v>
      </c>
      <c r="C17" s="1"/>
    </row>
    <row r="18" spans="1:3" x14ac:dyDescent="0.3">
      <c r="A18" s="3">
        <v>2047</v>
      </c>
      <c r="B18" s="3">
        <v>30.87</v>
      </c>
      <c r="C18" s="1"/>
    </row>
    <row r="19" spans="1:3" x14ac:dyDescent="0.3">
      <c r="A19" s="3">
        <v>2048</v>
      </c>
      <c r="B19" s="3">
        <v>30.38</v>
      </c>
      <c r="C19" s="1"/>
    </row>
    <row r="20" spans="1:3" x14ac:dyDescent="0.3">
      <c r="A20" s="3">
        <v>2049</v>
      </c>
      <c r="B20" s="3">
        <v>29.78</v>
      </c>
      <c r="C20" s="1"/>
    </row>
    <row r="21" spans="1:3" x14ac:dyDescent="0.3">
      <c r="A21" s="3">
        <v>2050</v>
      </c>
      <c r="B21" s="3">
        <v>30.99</v>
      </c>
      <c r="C21" s="1"/>
    </row>
    <row r="22" spans="1:3" x14ac:dyDescent="0.3">
      <c r="A22" s="3">
        <v>2051</v>
      </c>
      <c r="B22" s="3">
        <v>31.71</v>
      </c>
      <c r="C22" s="1"/>
    </row>
    <row r="23" spans="1:3" x14ac:dyDescent="0.3">
      <c r="A23" s="3">
        <v>2052</v>
      </c>
      <c r="B23" s="3">
        <v>34.61</v>
      </c>
      <c r="C23" s="1"/>
    </row>
    <row r="24" spans="1:3" x14ac:dyDescent="0.3">
      <c r="A24" s="3">
        <v>2053</v>
      </c>
      <c r="B24" s="3">
        <v>31.06</v>
      </c>
      <c r="C24" s="1"/>
    </row>
    <row r="25" spans="1:3" x14ac:dyDescent="0.3">
      <c r="A25" s="3">
        <v>2054</v>
      </c>
      <c r="B25" s="3">
        <v>35.47</v>
      </c>
      <c r="C25" s="1"/>
    </row>
    <row r="26" spans="1:3" x14ac:dyDescent="0.3">
      <c r="A26" s="3">
        <v>2055</v>
      </c>
      <c r="B26" s="3">
        <v>42.31</v>
      </c>
      <c r="C26" s="1"/>
    </row>
    <row r="27" spans="1:3" x14ac:dyDescent="0.3">
      <c r="A27" s="3">
        <v>2056</v>
      </c>
      <c r="B27" s="3">
        <v>43.76</v>
      </c>
      <c r="C27" s="1"/>
    </row>
    <row r="28" spans="1:3" x14ac:dyDescent="0.3">
      <c r="A28" s="3">
        <v>2057</v>
      </c>
      <c r="B28" s="3">
        <v>41.69</v>
      </c>
      <c r="C28" s="1"/>
    </row>
    <row r="29" spans="1:3" x14ac:dyDescent="0.3">
      <c r="A29" s="3">
        <v>2058</v>
      </c>
      <c r="B29" s="3">
        <v>38.119999999999997</v>
      </c>
      <c r="C29" s="1"/>
    </row>
    <row r="30" spans="1:3" x14ac:dyDescent="0.3">
      <c r="A30" s="3">
        <v>2059</v>
      </c>
      <c r="B30" s="3">
        <v>37.85</v>
      </c>
      <c r="C30" s="1"/>
    </row>
    <row r="31" spans="1:3" x14ac:dyDescent="0.3">
      <c r="A31" s="3">
        <v>2060</v>
      </c>
      <c r="B31" s="3">
        <v>40.58</v>
      </c>
      <c r="C31" s="1"/>
    </row>
    <row r="32" spans="1:3" x14ac:dyDescent="0.3">
      <c r="A32" s="3">
        <v>2061</v>
      </c>
      <c r="B32" s="3">
        <v>36.71</v>
      </c>
      <c r="C32" s="1"/>
    </row>
    <row r="33" spans="1:2" x14ac:dyDescent="0.3">
      <c r="A33" s="3" t="s">
        <v>28</v>
      </c>
      <c r="B33" s="3">
        <f>AVERAGE(B3:B32)</f>
        <v>39.306999999999995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87A1-4D30-41F6-ABEF-B7A3F0D3D075}">
  <dimension ref="A1:H32"/>
  <sheetViews>
    <sheetView workbookViewId="0">
      <selection activeCell="D34" sqref="D34"/>
    </sheetView>
  </sheetViews>
  <sheetFormatPr defaultRowHeight="16.5" x14ac:dyDescent="0.3"/>
  <cols>
    <col min="1" max="1" width="5.5" bestFit="1" customWidth="1"/>
    <col min="2" max="2" width="15.5" bestFit="1" customWidth="1"/>
    <col min="3" max="3" width="6.125" customWidth="1"/>
    <col min="5" max="5" width="15.5" bestFit="1" customWidth="1"/>
  </cols>
  <sheetData>
    <row r="1" spans="1:8" x14ac:dyDescent="0.3">
      <c r="B1" s="6" t="s">
        <v>30</v>
      </c>
      <c r="E1" s="6" t="s">
        <v>31</v>
      </c>
    </row>
    <row r="2" spans="1:8" x14ac:dyDescent="0.3">
      <c r="A2" s="5" t="s">
        <v>0</v>
      </c>
      <c r="B2" s="5" t="s">
        <v>1</v>
      </c>
      <c r="C2" s="1"/>
      <c r="D2" s="5" t="s">
        <v>0</v>
      </c>
      <c r="E2" s="5" t="s">
        <v>1</v>
      </c>
      <c r="G2" s="10" t="s">
        <v>32</v>
      </c>
      <c r="H2" s="11"/>
    </row>
    <row r="3" spans="1:8" x14ac:dyDescent="0.3">
      <c r="A3" s="3">
        <v>2032</v>
      </c>
      <c r="B3" s="4">
        <v>4334351857.1099997</v>
      </c>
      <c r="C3" s="2"/>
      <c r="D3" s="3">
        <v>2032</v>
      </c>
      <c r="E3" s="4">
        <f>B3/$G$3</f>
        <v>331372.46613990824</v>
      </c>
      <c r="G3" s="7">
        <v>13080</v>
      </c>
      <c r="H3" s="8" t="s">
        <v>33</v>
      </c>
    </row>
    <row r="4" spans="1:8" x14ac:dyDescent="0.3">
      <c r="A4" s="3">
        <v>2033</v>
      </c>
      <c r="B4" s="4">
        <v>3939617944.1199999</v>
      </c>
      <c r="C4" s="2"/>
      <c r="D4" s="3">
        <v>2033</v>
      </c>
      <c r="E4" s="4">
        <f t="shared" ref="E4:E32" si="0">B4/$G$3</f>
        <v>301194.03242507647</v>
      </c>
    </row>
    <row r="5" spans="1:8" x14ac:dyDescent="0.3">
      <c r="A5" s="3">
        <v>2034</v>
      </c>
      <c r="B5" s="4">
        <v>3581514586.96</v>
      </c>
      <c r="C5" s="2"/>
      <c r="D5" s="3">
        <v>2034</v>
      </c>
      <c r="E5" s="4">
        <f t="shared" si="0"/>
        <v>273816.0999204893</v>
      </c>
    </row>
    <row r="6" spans="1:8" x14ac:dyDescent="0.3">
      <c r="A6" s="3">
        <v>2035</v>
      </c>
      <c r="B6" s="4">
        <v>3794373240.7800002</v>
      </c>
      <c r="C6" s="2"/>
      <c r="D6" s="3">
        <v>2035</v>
      </c>
      <c r="E6" s="4">
        <f t="shared" si="0"/>
        <v>290089.69730733946</v>
      </c>
    </row>
    <row r="7" spans="1:8" x14ac:dyDescent="0.3">
      <c r="A7" s="3">
        <v>2036</v>
      </c>
      <c r="B7" s="4">
        <v>3519162172.3499999</v>
      </c>
      <c r="C7" s="2"/>
      <c r="D7" s="3">
        <v>2036</v>
      </c>
      <c r="E7" s="4">
        <f t="shared" si="0"/>
        <v>269049.09574541287</v>
      </c>
    </row>
    <row r="8" spans="1:8" x14ac:dyDescent="0.3">
      <c r="A8" s="3">
        <v>2037</v>
      </c>
      <c r="B8" s="4">
        <v>3093813586.0700002</v>
      </c>
      <c r="C8" s="2"/>
      <c r="D8" s="3">
        <v>2037</v>
      </c>
      <c r="E8" s="4">
        <f t="shared" si="0"/>
        <v>236530.09067813458</v>
      </c>
    </row>
    <row r="9" spans="1:8" x14ac:dyDescent="0.3">
      <c r="A9" s="3">
        <v>2038</v>
      </c>
      <c r="B9" s="4">
        <v>2777203273.0799999</v>
      </c>
      <c r="C9" s="2"/>
      <c r="D9" s="3">
        <v>2038</v>
      </c>
      <c r="E9" s="4">
        <f t="shared" si="0"/>
        <v>212324.40925688072</v>
      </c>
    </row>
    <row r="10" spans="1:8" x14ac:dyDescent="0.3">
      <c r="A10" s="3">
        <v>2039</v>
      </c>
      <c r="B10" s="4">
        <v>2306887105.6700001</v>
      </c>
      <c r="C10" s="2"/>
      <c r="D10" s="3">
        <v>2039</v>
      </c>
      <c r="E10" s="4">
        <f t="shared" si="0"/>
        <v>176367.51572400611</v>
      </c>
    </row>
    <row r="11" spans="1:8" x14ac:dyDescent="0.3">
      <c r="A11" s="3">
        <v>2040</v>
      </c>
      <c r="B11" s="4">
        <v>2282953368.6799998</v>
      </c>
      <c r="C11" s="2"/>
      <c r="D11" s="3">
        <v>2040</v>
      </c>
      <c r="E11" s="4">
        <f t="shared" si="0"/>
        <v>174537.7193180428</v>
      </c>
    </row>
    <row r="12" spans="1:8" x14ac:dyDescent="0.3">
      <c r="A12" s="3">
        <v>2041</v>
      </c>
      <c r="B12" s="4">
        <v>2555798985.23</v>
      </c>
      <c r="C12" s="2"/>
      <c r="D12" s="3">
        <v>2041</v>
      </c>
      <c r="E12" s="4">
        <f t="shared" si="0"/>
        <v>195397.4759350153</v>
      </c>
    </row>
    <row r="13" spans="1:8" x14ac:dyDescent="0.3">
      <c r="A13" s="3">
        <v>2042</v>
      </c>
      <c r="B13" s="4">
        <v>2244481435.48</v>
      </c>
      <c r="C13" s="2"/>
      <c r="D13" s="3">
        <v>2042</v>
      </c>
      <c r="E13" s="4">
        <f t="shared" si="0"/>
        <v>171596.44002140674</v>
      </c>
    </row>
    <row r="14" spans="1:8" x14ac:dyDescent="0.3">
      <c r="A14" s="3">
        <v>2043</v>
      </c>
      <c r="B14" s="4">
        <v>2497112337.3200002</v>
      </c>
      <c r="C14" s="2"/>
      <c r="D14" s="3">
        <v>2043</v>
      </c>
      <c r="E14" s="4">
        <f t="shared" si="0"/>
        <v>190910.7291529052</v>
      </c>
    </row>
    <row r="15" spans="1:8" x14ac:dyDescent="0.3">
      <c r="A15" s="3">
        <v>2044</v>
      </c>
      <c r="B15" s="4">
        <v>2405021603.1599998</v>
      </c>
      <c r="C15" s="2"/>
      <c r="D15" s="3">
        <v>2044</v>
      </c>
      <c r="E15" s="4">
        <f t="shared" si="0"/>
        <v>183870.15314678897</v>
      </c>
    </row>
    <row r="16" spans="1:8" x14ac:dyDescent="0.3">
      <c r="A16" s="3">
        <v>2045</v>
      </c>
      <c r="B16" s="4">
        <v>2246312263.4099998</v>
      </c>
      <c r="C16" s="2"/>
      <c r="D16" s="3">
        <v>2045</v>
      </c>
      <c r="E16" s="4">
        <f t="shared" si="0"/>
        <v>171736.41157568805</v>
      </c>
    </row>
    <row r="17" spans="1:5" x14ac:dyDescent="0.3">
      <c r="A17" s="3">
        <v>2046</v>
      </c>
      <c r="B17" s="4">
        <v>2351775200.2399998</v>
      </c>
      <c r="C17" s="2"/>
      <c r="D17" s="3">
        <v>2046</v>
      </c>
      <c r="E17" s="4">
        <f t="shared" si="0"/>
        <v>179799.32723547399</v>
      </c>
    </row>
    <row r="18" spans="1:5" x14ac:dyDescent="0.3">
      <c r="A18" s="3">
        <v>2047</v>
      </c>
      <c r="B18" s="4">
        <v>2113682118.8399999</v>
      </c>
      <c r="C18" s="2"/>
      <c r="D18" s="3">
        <v>2047</v>
      </c>
      <c r="E18" s="4">
        <f t="shared" si="0"/>
        <v>161596.49226605505</v>
      </c>
    </row>
    <row r="19" spans="1:5" x14ac:dyDescent="0.3">
      <c r="A19" s="3">
        <v>2048</v>
      </c>
      <c r="B19" s="4">
        <v>2089411284.26</v>
      </c>
      <c r="C19" s="2"/>
      <c r="D19" s="3">
        <v>2048</v>
      </c>
      <c r="E19" s="4">
        <f t="shared" si="0"/>
        <v>159740.92387308867</v>
      </c>
    </row>
    <row r="20" spans="1:5" x14ac:dyDescent="0.3">
      <c r="A20" s="3">
        <v>2049</v>
      </c>
      <c r="B20" s="4">
        <v>2044891162.78</v>
      </c>
      <c r="C20" s="2"/>
      <c r="D20" s="3">
        <v>2049</v>
      </c>
      <c r="E20" s="4">
        <f t="shared" si="0"/>
        <v>156337.24486085627</v>
      </c>
    </row>
    <row r="21" spans="1:5" x14ac:dyDescent="0.3">
      <c r="A21" s="3">
        <v>2050</v>
      </c>
      <c r="B21" s="4">
        <v>2127757890.9300001</v>
      </c>
      <c r="C21" s="2"/>
      <c r="D21" s="3">
        <v>2050</v>
      </c>
      <c r="E21" s="4">
        <f t="shared" si="0"/>
        <v>162672.62163073395</v>
      </c>
    </row>
    <row r="22" spans="1:5" x14ac:dyDescent="0.3">
      <c r="A22" s="3">
        <v>2051</v>
      </c>
      <c r="B22" s="4">
        <v>2175016323.9099998</v>
      </c>
      <c r="C22" s="2"/>
      <c r="D22" s="3">
        <v>2051</v>
      </c>
      <c r="E22" s="4">
        <f t="shared" si="0"/>
        <v>166285.65167507643</v>
      </c>
    </row>
    <row r="23" spans="1:5" x14ac:dyDescent="0.3">
      <c r="A23" s="3">
        <v>2052</v>
      </c>
      <c r="B23" s="4">
        <v>2385110338.3499999</v>
      </c>
      <c r="C23" s="2"/>
      <c r="D23" s="3">
        <v>2052</v>
      </c>
      <c r="E23" s="4">
        <f t="shared" si="0"/>
        <v>182347.88519495411</v>
      </c>
    </row>
    <row r="24" spans="1:5" x14ac:dyDescent="0.3">
      <c r="A24" s="3">
        <v>2053</v>
      </c>
      <c r="B24" s="4">
        <v>2131719432.76</v>
      </c>
      <c r="C24" s="2"/>
      <c r="D24" s="3">
        <v>2053</v>
      </c>
      <c r="E24" s="4">
        <f t="shared" si="0"/>
        <v>162975.49180122325</v>
      </c>
    </row>
    <row r="25" spans="1:5" x14ac:dyDescent="0.3">
      <c r="A25" s="3">
        <v>2054</v>
      </c>
      <c r="B25" s="4">
        <v>2432910706.9200001</v>
      </c>
      <c r="C25" s="2"/>
      <c r="D25" s="3">
        <v>2054</v>
      </c>
      <c r="E25" s="4">
        <f t="shared" si="0"/>
        <v>186002.34762385322</v>
      </c>
    </row>
    <row r="26" spans="1:5" x14ac:dyDescent="0.3">
      <c r="A26" s="3">
        <v>2055</v>
      </c>
      <c r="B26" s="4">
        <v>2909279800.5300002</v>
      </c>
      <c r="C26" s="2"/>
      <c r="D26" s="3">
        <v>2055</v>
      </c>
      <c r="E26" s="4">
        <f t="shared" si="0"/>
        <v>222422.00309862386</v>
      </c>
    </row>
    <row r="27" spans="1:5" x14ac:dyDescent="0.3">
      <c r="A27" s="3">
        <v>2056</v>
      </c>
      <c r="B27" s="4">
        <v>3017728238</v>
      </c>
      <c r="C27" s="2"/>
      <c r="D27" s="3">
        <v>2056</v>
      </c>
      <c r="E27" s="4">
        <f t="shared" si="0"/>
        <v>230713.16804281346</v>
      </c>
    </row>
    <row r="28" spans="1:5" x14ac:dyDescent="0.3">
      <c r="A28" s="3">
        <v>2057</v>
      </c>
      <c r="B28" s="4">
        <v>2871372688.5300002</v>
      </c>
      <c r="C28" s="2"/>
      <c r="D28" s="3">
        <v>2057</v>
      </c>
      <c r="E28" s="4">
        <f t="shared" si="0"/>
        <v>219523.90585091745</v>
      </c>
    </row>
    <row r="29" spans="1:5" x14ac:dyDescent="0.3">
      <c r="A29" s="3">
        <v>2058</v>
      </c>
      <c r="B29" s="4">
        <v>2612090375.6700001</v>
      </c>
      <c r="C29" s="2"/>
      <c r="D29" s="3">
        <v>2058</v>
      </c>
      <c r="E29" s="4">
        <f t="shared" si="0"/>
        <v>199701.09905733945</v>
      </c>
    </row>
    <row r="30" spans="1:5" x14ac:dyDescent="0.3">
      <c r="A30" s="3">
        <v>2059</v>
      </c>
      <c r="B30" s="4">
        <v>2598388553.02</v>
      </c>
      <c r="C30" s="2"/>
      <c r="D30" s="3">
        <v>2059</v>
      </c>
      <c r="E30" s="4">
        <f t="shared" si="0"/>
        <v>198653.55909938837</v>
      </c>
    </row>
    <row r="31" spans="1:5" x14ac:dyDescent="0.3">
      <c r="A31" s="3">
        <v>2060</v>
      </c>
      <c r="B31" s="4">
        <v>2794858942.23</v>
      </c>
      <c r="C31" s="2"/>
      <c r="D31" s="3">
        <v>2060</v>
      </c>
      <c r="E31" s="4">
        <f t="shared" si="0"/>
        <v>213674.23105733946</v>
      </c>
    </row>
    <row r="32" spans="1:5" x14ac:dyDescent="0.3">
      <c r="A32" s="3">
        <v>2061</v>
      </c>
      <c r="B32" s="4">
        <v>2521085781.8200002</v>
      </c>
      <c r="C32" s="2"/>
      <c r="D32" s="3">
        <v>2061</v>
      </c>
      <c r="E32" s="4">
        <f t="shared" si="0"/>
        <v>192743.56130122326</v>
      </c>
    </row>
  </sheetData>
  <mergeCells count="1">
    <mergeCell ref="G2:H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952C-F150-4B17-8B1B-067A8097FA91}">
  <dimension ref="A1:C32"/>
  <sheetViews>
    <sheetView workbookViewId="0">
      <selection activeCell="B1" sqref="B1"/>
    </sheetView>
  </sheetViews>
  <sheetFormatPr defaultRowHeight="16.5" x14ac:dyDescent="0.3"/>
  <cols>
    <col min="1" max="1" width="5.5" bestFit="1" customWidth="1"/>
    <col min="2" max="3" width="14" bestFit="1" customWidth="1"/>
  </cols>
  <sheetData>
    <row r="1" spans="1:3" x14ac:dyDescent="0.3">
      <c r="B1" s="6" t="s">
        <v>35</v>
      </c>
    </row>
    <row r="2" spans="1:3" x14ac:dyDescent="0.3">
      <c r="A2" s="5" t="s">
        <v>0</v>
      </c>
      <c r="B2" s="5" t="s">
        <v>1</v>
      </c>
      <c r="C2" s="1"/>
    </row>
    <row r="3" spans="1:3" x14ac:dyDescent="0.3">
      <c r="A3" s="3">
        <v>2032</v>
      </c>
      <c r="B3" s="4">
        <v>461628251.54000002</v>
      </c>
      <c r="C3" s="2"/>
    </row>
    <row r="4" spans="1:3" x14ac:dyDescent="0.3">
      <c r="A4" s="3">
        <v>2033</v>
      </c>
      <c r="B4" s="4">
        <v>465088485.50999999</v>
      </c>
      <c r="C4" s="2"/>
    </row>
    <row r="5" spans="1:3" x14ac:dyDescent="0.3">
      <c r="A5" s="3">
        <v>2034</v>
      </c>
      <c r="B5" s="4">
        <v>447417674.54000002</v>
      </c>
      <c r="C5" s="2"/>
    </row>
    <row r="6" spans="1:3" x14ac:dyDescent="0.3">
      <c r="A6" s="3">
        <v>2035</v>
      </c>
      <c r="B6" s="4">
        <v>483552037.50999999</v>
      </c>
      <c r="C6" s="2"/>
    </row>
    <row r="7" spans="1:3" x14ac:dyDescent="0.3">
      <c r="A7" s="3">
        <v>2036</v>
      </c>
      <c r="B7" s="4">
        <v>448512158.85000002</v>
      </c>
      <c r="C7" s="2"/>
    </row>
    <row r="8" spans="1:3" x14ac:dyDescent="0.3">
      <c r="A8" s="3">
        <v>2037</v>
      </c>
      <c r="B8" s="4">
        <v>390319212.80000001</v>
      </c>
      <c r="C8" s="2"/>
    </row>
    <row r="9" spans="1:3" x14ac:dyDescent="0.3">
      <c r="A9" s="3">
        <v>2038</v>
      </c>
      <c r="B9" s="4">
        <v>346376165.44999999</v>
      </c>
      <c r="C9" s="2"/>
    </row>
    <row r="10" spans="1:3" x14ac:dyDescent="0.3">
      <c r="A10" s="3">
        <v>2039</v>
      </c>
      <c r="B10" s="4">
        <v>284184037.42000002</v>
      </c>
      <c r="C10" s="2"/>
    </row>
    <row r="11" spans="1:3" x14ac:dyDescent="0.3">
      <c r="A11" s="3">
        <v>2040</v>
      </c>
      <c r="B11" s="4">
        <v>282937240.58999997</v>
      </c>
      <c r="C11" s="2"/>
    </row>
    <row r="12" spans="1:3" x14ac:dyDescent="0.3">
      <c r="A12" s="3">
        <v>2041</v>
      </c>
      <c r="B12" s="4">
        <v>321531560.27999997</v>
      </c>
      <c r="C12" s="2"/>
    </row>
    <row r="13" spans="1:3" x14ac:dyDescent="0.3">
      <c r="A13" s="3">
        <v>2042</v>
      </c>
      <c r="B13" s="4">
        <v>288083513.18000001</v>
      </c>
      <c r="C13" s="2"/>
    </row>
    <row r="14" spans="1:3" x14ac:dyDescent="0.3">
      <c r="A14" s="3">
        <v>2043</v>
      </c>
      <c r="B14" s="4">
        <v>329440835.88</v>
      </c>
      <c r="C14" s="2"/>
    </row>
    <row r="15" spans="1:3" x14ac:dyDescent="0.3">
      <c r="A15" s="3">
        <v>2044</v>
      </c>
      <c r="B15" s="4">
        <v>322978938.44999999</v>
      </c>
      <c r="C15" s="2"/>
    </row>
    <row r="16" spans="1:3" x14ac:dyDescent="0.3">
      <c r="A16" s="3">
        <v>2045</v>
      </c>
      <c r="B16" s="4">
        <v>305909158.93000001</v>
      </c>
      <c r="C16" s="2"/>
    </row>
    <row r="17" spans="1:3" x14ac:dyDescent="0.3">
      <c r="A17" s="3">
        <v>2046</v>
      </c>
      <c r="B17" s="4">
        <v>325592447.22000003</v>
      </c>
      <c r="C17" s="2"/>
    </row>
    <row r="18" spans="1:3" x14ac:dyDescent="0.3">
      <c r="A18" s="3">
        <v>2047</v>
      </c>
      <c r="B18" s="4">
        <v>295890512.06</v>
      </c>
      <c r="C18" s="2"/>
    </row>
    <row r="19" spans="1:3" x14ac:dyDescent="0.3">
      <c r="A19" s="3">
        <v>2048</v>
      </c>
      <c r="B19" s="4">
        <v>292449657.36000001</v>
      </c>
      <c r="C19" s="2"/>
    </row>
    <row r="20" spans="1:3" x14ac:dyDescent="0.3">
      <c r="A20" s="3">
        <v>2049</v>
      </c>
      <c r="B20" s="4">
        <v>285268851.81999999</v>
      </c>
      <c r="C20" s="2"/>
    </row>
    <row r="21" spans="1:3" x14ac:dyDescent="0.3">
      <c r="A21" s="3">
        <v>2050</v>
      </c>
      <c r="B21" s="4">
        <v>296278057.83999997</v>
      </c>
      <c r="C21" s="2"/>
    </row>
    <row r="22" spans="1:3" x14ac:dyDescent="0.3">
      <c r="A22" s="3">
        <v>2051</v>
      </c>
      <c r="B22" s="4">
        <v>305661599.86000001</v>
      </c>
      <c r="C22" s="2"/>
    </row>
    <row r="23" spans="1:3" x14ac:dyDescent="0.3">
      <c r="A23" s="3">
        <v>2052</v>
      </c>
      <c r="B23" s="4">
        <v>337199555.64999998</v>
      </c>
      <c r="C23" s="2"/>
    </row>
    <row r="24" spans="1:3" x14ac:dyDescent="0.3">
      <c r="A24" s="3">
        <v>2053</v>
      </c>
      <c r="B24" s="4">
        <v>303539925.72000003</v>
      </c>
      <c r="C24" s="2"/>
    </row>
    <row r="25" spans="1:3" x14ac:dyDescent="0.3">
      <c r="A25" s="3">
        <v>2054</v>
      </c>
      <c r="B25" s="4">
        <v>347953260.63</v>
      </c>
      <c r="C25" s="2"/>
    </row>
    <row r="26" spans="1:3" x14ac:dyDescent="0.3">
      <c r="A26" s="3">
        <v>2055</v>
      </c>
      <c r="B26" s="4">
        <v>417580295.99000001</v>
      </c>
      <c r="C26" s="2"/>
    </row>
    <row r="27" spans="1:3" x14ac:dyDescent="0.3">
      <c r="A27" s="3">
        <v>2056</v>
      </c>
      <c r="B27" s="4">
        <v>435443989.80000001</v>
      </c>
      <c r="C27" s="2"/>
    </row>
    <row r="28" spans="1:3" x14ac:dyDescent="0.3">
      <c r="A28" s="3">
        <v>2057</v>
      </c>
      <c r="B28" s="4">
        <v>416510008.80000001</v>
      </c>
      <c r="C28" s="2"/>
    </row>
    <row r="29" spans="1:3" x14ac:dyDescent="0.3">
      <c r="A29" s="3">
        <v>2058</v>
      </c>
      <c r="B29" s="4">
        <v>381533867</v>
      </c>
      <c r="C29" s="2"/>
    </row>
    <row r="30" spans="1:3" x14ac:dyDescent="0.3">
      <c r="A30" s="3">
        <v>2059</v>
      </c>
      <c r="B30" s="4">
        <v>381510032.02999997</v>
      </c>
      <c r="C30" s="2"/>
    </row>
    <row r="31" spans="1:3" x14ac:dyDescent="0.3">
      <c r="A31" s="3">
        <v>2060</v>
      </c>
      <c r="B31" s="4">
        <v>412050994.69</v>
      </c>
      <c r="C31" s="2"/>
    </row>
    <row r="32" spans="1:3" x14ac:dyDescent="0.3">
      <c r="A32" s="3">
        <v>2061</v>
      </c>
      <c r="B32" s="4">
        <v>373751978.17000002</v>
      </c>
      <c r="C32" s="2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59006-53AB-4795-B43E-7D913905CD3F}">
  <dimension ref="A1:K32"/>
  <sheetViews>
    <sheetView workbookViewId="0">
      <selection activeCell="D5" sqref="D5"/>
    </sheetView>
  </sheetViews>
  <sheetFormatPr defaultRowHeight="16.5" x14ac:dyDescent="0.3"/>
  <cols>
    <col min="1" max="1" width="5.5" bestFit="1" customWidth="1"/>
    <col min="2" max="2" width="11.625" bestFit="1" customWidth="1"/>
    <col min="3" max="3" width="14" bestFit="1" customWidth="1"/>
    <col min="4" max="4" width="13.125" bestFit="1" customWidth="1"/>
    <col min="5" max="5" width="12.875" bestFit="1" customWidth="1"/>
    <col min="6" max="6" width="14" bestFit="1" customWidth="1"/>
    <col min="7" max="7" width="3.875" bestFit="1" customWidth="1"/>
    <col min="8" max="8" width="14" bestFit="1" customWidth="1"/>
    <col min="9" max="9" width="13.125" bestFit="1" customWidth="1"/>
    <col min="10" max="10" width="12.875" bestFit="1" customWidth="1"/>
    <col min="11" max="11" width="14" bestFit="1" customWidth="1"/>
  </cols>
  <sheetData>
    <row r="1" spans="1:11" x14ac:dyDescent="0.3">
      <c r="A1" s="9" t="s">
        <v>0</v>
      </c>
      <c r="B1" s="9" t="s">
        <v>1</v>
      </c>
      <c r="C1" s="9"/>
      <c r="D1" s="9"/>
      <c r="E1" s="9"/>
      <c r="F1" s="9"/>
      <c r="G1" s="1"/>
      <c r="H1" s="1"/>
      <c r="I1" s="1"/>
      <c r="J1" s="1"/>
      <c r="K1" s="1"/>
    </row>
    <row r="2" spans="1:11" x14ac:dyDescent="0.3">
      <c r="A2" s="9"/>
      <c r="B2" s="5" t="s">
        <v>27</v>
      </c>
      <c r="C2" s="5" t="s">
        <v>37</v>
      </c>
      <c r="D2" s="5" t="s">
        <v>38</v>
      </c>
      <c r="E2" s="5" t="s">
        <v>39</v>
      </c>
      <c r="F2" s="5" t="s">
        <v>40</v>
      </c>
    </row>
    <row r="3" spans="1:11" x14ac:dyDescent="0.3">
      <c r="A3" s="3">
        <v>2032</v>
      </c>
      <c r="B3" s="3">
        <v>0</v>
      </c>
      <c r="C3" s="4">
        <v>507410418.48000002</v>
      </c>
      <c r="D3" s="3">
        <v>0</v>
      </c>
      <c r="E3" s="4">
        <v>3089711.38</v>
      </c>
      <c r="F3" s="4">
        <v>510500129.86000001</v>
      </c>
    </row>
    <row r="4" spans="1:11" x14ac:dyDescent="0.3">
      <c r="A4" s="3">
        <v>2033</v>
      </c>
      <c r="B4" s="3">
        <v>0</v>
      </c>
      <c r="C4" s="4">
        <v>493574369.55000001</v>
      </c>
      <c r="D4" s="3">
        <v>0</v>
      </c>
      <c r="E4" s="4">
        <v>7971450.4199999999</v>
      </c>
      <c r="F4" s="4">
        <v>501545819.98000002</v>
      </c>
    </row>
    <row r="5" spans="1:11" x14ac:dyDescent="0.3">
      <c r="A5" s="3">
        <v>2034</v>
      </c>
      <c r="B5" s="3">
        <v>0</v>
      </c>
      <c r="C5" s="4">
        <v>457966953.61000001</v>
      </c>
      <c r="D5" s="3">
        <v>0</v>
      </c>
      <c r="E5" s="4">
        <v>12407339.34</v>
      </c>
      <c r="F5" s="4">
        <v>470374292.94999999</v>
      </c>
    </row>
    <row r="6" spans="1:11" x14ac:dyDescent="0.3">
      <c r="A6" s="3">
        <v>2035</v>
      </c>
      <c r="B6" s="3">
        <v>0</v>
      </c>
      <c r="C6" s="4">
        <v>477488666.45999998</v>
      </c>
      <c r="D6" s="3">
        <v>0</v>
      </c>
      <c r="E6" s="4">
        <v>18344214.969999999</v>
      </c>
      <c r="F6" s="4">
        <v>495832881.43000001</v>
      </c>
    </row>
    <row r="7" spans="1:11" x14ac:dyDescent="0.3">
      <c r="A7" s="3">
        <v>2036</v>
      </c>
      <c r="B7" s="3">
        <v>0</v>
      </c>
      <c r="C7" s="4">
        <v>442757915.05000001</v>
      </c>
      <c r="D7" s="3">
        <v>0</v>
      </c>
      <c r="E7" s="4">
        <v>16983997.77</v>
      </c>
      <c r="F7" s="4">
        <v>459741912.81999999</v>
      </c>
    </row>
    <row r="8" spans="1:11" x14ac:dyDescent="0.3">
      <c r="A8" s="3">
        <v>2037</v>
      </c>
      <c r="B8" s="3">
        <v>0</v>
      </c>
      <c r="C8" s="4">
        <v>375702484.51999998</v>
      </c>
      <c r="D8" s="3">
        <v>0</v>
      </c>
      <c r="E8" s="4">
        <v>17619929.789999999</v>
      </c>
      <c r="F8" s="4">
        <v>393322414.31</v>
      </c>
    </row>
    <row r="9" spans="1:11" x14ac:dyDescent="0.3">
      <c r="A9" s="3">
        <v>2038</v>
      </c>
      <c r="B9" s="3">
        <v>0</v>
      </c>
      <c r="C9" s="4">
        <v>302639860.92000002</v>
      </c>
      <c r="D9" s="3">
        <v>0</v>
      </c>
      <c r="E9" s="4">
        <v>27031271.75</v>
      </c>
      <c r="F9" s="4">
        <v>329671132.68000001</v>
      </c>
    </row>
    <row r="10" spans="1:11" x14ac:dyDescent="0.3">
      <c r="A10" s="3">
        <v>2039</v>
      </c>
      <c r="B10" s="3">
        <v>0</v>
      </c>
      <c r="C10" s="4">
        <v>255457632.71000001</v>
      </c>
      <c r="D10" s="3">
        <v>0</v>
      </c>
      <c r="E10" s="4">
        <v>21904383.949999999</v>
      </c>
      <c r="F10" s="4">
        <v>277362016.67000002</v>
      </c>
    </row>
    <row r="11" spans="1:11" x14ac:dyDescent="0.3">
      <c r="A11" s="3">
        <v>2040</v>
      </c>
      <c r="B11" s="3">
        <v>0</v>
      </c>
      <c r="C11" s="4">
        <v>251374713.13</v>
      </c>
      <c r="D11" s="3">
        <v>0</v>
      </c>
      <c r="E11" s="4">
        <v>21119635.440000001</v>
      </c>
      <c r="F11" s="4">
        <v>272494348.56999999</v>
      </c>
    </row>
    <row r="12" spans="1:11" x14ac:dyDescent="0.3">
      <c r="A12" s="3">
        <v>2041</v>
      </c>
      <c r="B12" s="3">
        <v>0</v>
      </c>
      <c r="C12" s="4">
        <v>287105209.75999999</v>
      </c>
      <c r="D12" s="3">
        <v>0</v>
      </c>
      <c r="E12" s="4">
        <v>23531798.129999999</v>
      </c>
      <c r="F12" s="4">
        <v>310637007.88999999</v>
      </c>
    </row>
    <row r="13" spans="1:11" x14ac:dyDescent="0.3">
      <c r="A13" s="3">
        <v>2042</v>
      </c>
      <c r="B13" s="3">
        <v>0</v>
      </c>
      <c r="C13" s="4">
        <v>250570314.31999999</v>
      </c>
      <c r="D13" s="3">
        <v>0</v>
      </c>
      <c r="E13" s="4">
        <v>23357610.059999999</v>
      </c>
      <c r="F13" s="4">
        <v>273927924.38</v>
      </c>
    </row>
    <row r="14" spans="1:11" x14ac:dyDescent="0.3">
      <c r="A14" s="3">
        <v>2043</v>
      </c>
      <c r="B14" s="3">
        <v>0</v>
      </c>
      <c r="C14" s="4">
        <v>273020512.30000001</v>
      </c>
      <c r="D14" s="3">
        <v>0</v>
      </c>
      <c r="E14" s="4">
        <v>29391223.960000001</v>
      </c>
      <c r="F14" s="4">
        <v>302411736.25999999</v>
      </c>
    </row>
    <row r="15" spans="1:11" x14ac:dyDescent="0.3">
      <c r="A15" s="3">
        <v>2044</v>
      </c>
      <c r="B15" s="3">
        <v>0</v>
      </c>
      <c r="C15" s="4">
        <v>276185394.11000001</v>
      </c>
      <c r="D15" s="3">
        <v>0</v>
      </c>
      <c r="E15" s="4">
        <v>27652029.280000001</v>
      </c>
      <c r="F15" s="4">
        <v>303837423.38999999</v>
      </c>
    </row>
    <row r="16" spans="1:11" x14ac:dyDescent="0.3">
      <c r="A16" s="3">
        <v>2045</v>
      </c>
      <c r="B16" s="3">
        <v>0</v>
      </c>
      <c r="C16" s="4">
        <v>262807603.02000001</v>
      </c>
      <c r="D16" s="3">
        <v>0</v>
      </c>
      <c r="E16" s="4">
        <v>24221037.739999998</v>
      </c>
      <c r="F16" s="4">
        <v>287028640.76999998</v>
      </c>
    </row>
    <row r="17" spans="1:6" x14ac:dyDescent="0.3">
      <c r="A17" s="3">
        <v>2046</v>
      </c>
      <c r="B17" s="3">
        <v>0</v>
      </c>
      <c r="C17" s="4">
        <v>275129936.81</v>
      </c>
      <c r="D17" s="3">
        <v>0</v>
      </c>
      <c r="E17" s="4">
        <v>28399216.879999999</v>
      </c>
      <c r="F17" s="4">
        <v>303529153.68000001</v>
      </c>
    </row>
    <row r="18" spans="1:6" x14ac:dyDescent="0.3">
      <c r="A18" s="3">
        <v>2047</v>
      </c>
      <c r="B18" s="3">
        <v>0</v>
      </c>
      <c r="C18" s="4">
        <v>220708632.77000001</v>
      </c>
      <c r="D18" s="3">
        <v>0</v>
      </c>
      <c r="E18" s="4">
        <v>32603746.5</v>
      </c>
      <c r="F18" s="4">
        <v>253312379.25999999</v>
      </c>
    </row>
    <row r="19" spans="1:6" x14ac:dyDescent="0.3">
      <c r="A19" s="3">
        <v>2048</v>
      </c>
      <c r="B19" s="3">
        <v>0</v>
      </c>
      <c r="C19" s="4">
        <v>223801373.80000001</v>
      </c>
      <c r="D19" s="3">
        <v>0</v>
      </c>
      <c r="E19" s="4">
        <v>30776124.550000001</v>
      </c>
      <c r="F19" s="4">
        <v>254577498.34999999</v>
      </c>
    </row>
    <row r="20" spans="1:6" x14ac:dyDescent="0.3">
      <c r="A20" s="3">
        <v>2049</v>
      </c>
      <c r="B20" s="3">
        <v>0</v>
      </c>
      <c r="C20" s="4">
        <v>212875960.71000001</v>
      </c>
      <c r="D20" s="3">
        <v>0</v>
      </c>
      <c r="E20" s="4">
        <v>31737945.210000001</v>
      </c>
      <c r="F20" s="4">
        <v>244613905.91999999</v>
      </c>
    </row>
    <row r="21" spans="1:6" x14ac:dyDescent="0.3">
      <c r="A21" s="3">
        <v>2050</v>
      </c>
      <c r="B21" s="3">
        <v>0</v>
      </c>
      <c r="C21" s="4">
        <v>211499625.59999999</v>
      </c>
      <c r="D21" s="3">
        <v>0</v>
      </c>
      <c r="E21" s="4">
        <v>34415811.68</v>
      </c>
      <c r="F21" s="4">
        <v>245915437.28</v>
      </c>
    </row>
    <row r="22" spans="1:6" x14ac:dyDescent="0.3">
      <c r="A22" s="3">
        <v>2051</v>
      </c>
      <c r="B22" s="3">
        <v>0</v>
      </c>
      <c r="C22" s="4">
        <v>208564506.09999999</v>
      </c>
      <c r="D22" s="3">
        <v>0</v>
      </c>
      <c r="E22" s="4">
        <v>35003095.229999997</v>
      </c>
      <c r="F22" s="4">
        <v>243567601.33000001</v>
      </c>
    </row>
    <row r="23" spans="1:6" x14ac:dyDescent="0.3">
      <c r="A23" s="3">
        <v>2052</v>
      </c>
      <c r="B23" s="3">
        <v>0</v>
      </c>
      <c r="C23" s="4">
        <v>226775136.41999999</v>
      </c>
      <c r="D23" s="3">
        <v>0</v>
      </c>
      <c r="E23" s="4">
        <v>41662731.390000001</v>
      </c>
      <c r="F23" s="4">
        <v>268437867.80000001</v>
      </c>
    </row>
    <row r="24" spans="1:6" x14ac:dyDescent="0.3">
      <c r="A24" s="3">
        <v>2053</v>
      </c>
      <c r="B24" s="3">
        <v>0</v>
      </c>
      <c r="C24" s="4">
        <v>214804442.83000001</v>
      </c>
      <c r="D24" s="3">
        <v>0</v>
      </c>
      <c r="E24" s="4">
        <v>33926810.689999998</v>
      </c>
      <c r="F24" s="4">
        <v>248731253.52000001</v>
      </c>
    </row>
    <row r="25" spans="1:6" x14ac:dyDescent="0.3">
      <c r="A25" s="3">
        <v>2054</v>
      </c>
      <c r="B25" s="3">
        <v>0</v>
      </c>
      <c r="C25" s="4">
        <v>250267342.69</v>
      </c>
      <c r="D25" s="3">
        <v>0</v>
      </c>
      <c r="E25" s="4">
        <v>37174904.93</v>
      </c>
      <c r="F25" s="4">
        <v>287442247.61000001</v>
      </c>
    </row>
    <row r="26" spans="1:6" x14ac:dyDescent="0.3">
      <c r="A26" s="3">
        <v>2055</v>
      </c>
      <c r="B26" s="3">
        <v>0</v>
      </c>
      <c r="C26" s="4">
        <v>249730397.81</v>
      </c>
      <c r="D26" s="3">
        <v>0</v>
      </c>
      <c r="E26" s="4">
        <v>53039917.490000002</v>
      </c>
      <c r="F26" s="4">
        <v>302770315.30000001</v>
      </c>
    </row>
    <row r="27" spans="1:6" x14ac:dyDescent="0.3">
      <c r="A27" s="3">
        <v>2056</v>
      </c>
      <c r="B27" s="3">
        <v>0</v>
      </c>
      <c r="C27" s="4">
        <v>298062427.04000002</v>
      </c>
      <c r="D27" s="3">
        <v>0</v>
      </c>
      <c r="E27" s="4">
        <v>49007419.009999998</v>
      </c>
      <c r="F27" s="4">
        <v>347069846.06</v>
      </c>
    </row>
    <row r="28" spans="1:6" x14ac:dyDescent="0.3">
      <c r="A28" s="3">
        <v>2057</v>
      </c>
      <c r="B28" s="3">
        <v>0</v>
      </c>
      <c r="C28" s="4">
        <v>271758721.99000001</v>
      </c>
      <c r="D28" s="3">
        <v>0</v>
      </c>
      <c r="E28" s="4">
        <v>49585525.270000003</v>
      </c>
      <c r="F28" s="4">
        <v>321344247.25999999</v>
      </c>
    </row>
    <row r="29" spans="1:6" x14ac:dyDescent="0.3">
      <c r="A29" s="3">
        <v>2058</v>
      </c>
      <c r="B29" s="3">
        <v>0</v>
      </c>
      <c r="C29" s="4">
        <v>237739018.50999999</v>
      </c>
      <c r="D29" s="3">
        <v>0</v>
      </c>
      <c r="E29" s="4">
        <v>42353079.079999998</v>
      </c>
      <c r="F29" s="4">
        <v>280092097.58999997</v>
      </c>
    </row>
    <row r="30" spans="1:6" x14ac:dyDescent="0.3">
      <c r="A30" s="3">
        <v>2059</v>
      </c>
      <c r="B30" s="3">
        <v>0</v>
      </c>
      <c r="C30" s="4">
        <v>247471803.33000001</v>
      </c>
      <c r="D30" s="3">
        <v>0</v>
      </c>
      <c r="E30" s="4">
        <v>41708498.329999998</v>
      </c>
      <c r="F30" s="4">
        <v>289180301.66000003</v>
      </c>
    </row>
    <row r="31" spans="1:6" x14ac:dyDescent="0.3">
      <c r="A31" s="3">
        <v>2060</v>
      </c>
      <c r="B31" s="3">
        <v>0</v>
      </c>
      <c r="C31" s="4">
        <v>302057061.82999998</v>
      </c>
      <c r="D31" s="3">
        <v>0</v>
      </c>
      <c r="E31" s="4">
        <v>40749309.579999998</v>
      </c>
      <c r="F31" s="4">
        <v>342806371.42000002</v>
      </c>
    </row>
    <row r="32" spans="1:6" x14ac:dyDescent="0.3">
      <c r="A32" s="3">
        <v>2061</v>
      </c>
      <c r="B32" s="3">
        <v>0</v>
      </c>
      <c r="C32" s="4">
        <v>285630719.66000003</v>
      </c>
      <c r="D32" s="3">
        <v>0</v>
      </c>
      <c r="E32" s="4">
        <v>44108131.229999997</v>
      </c>
      <c r="F32" s="4">
        <v>329738850.88999999</v>
      </c>
    </row>
  </sheetData>
  <mergeCells count="2">
    <mergeCell ref="A1:A2"/>
    <mergeCell ref="B1:F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8ECF2-6D33-416E-B474-648CEE1E4B62}">
  <dimension ref="A1:S33"/>
  <sheetViews>
    <sheetView workbookViewId="0">
      <selection activeCell="J18" sqref="J18"/>
    </sheetView>
  </sheetViews>
  <sheetFormatPr defaultRowHeight="16.5" x14ac:dyDescent="0.3"/>
  <cols>
    <col min="1" max="1" width="5.5" bestFit="1" customWidth="1"/>
    <col min="2" max="2" width="10.375" bestFit="1" customWidth="1"/>
    <col min="3" max="3" width="16.875" bestFit="1" customWidth="1"/>
    <col min="4" max="4" width="8.5" bestFit="1" customWidth="1"/>
    <col min="5" max="5" width="9.25" bestFit="1" customWidth="1"/>
    <col min="6" max="6" width="8.5" bestFit="1" customWidth="1"/>
    <col min="7" max="7" width="11" bestFit="1" customWidth="1"/>
    <col min="8" max="8" width="12.5" bestFit="1" customWidth="1"/>
    <col min="9" max="9" width="16.875" bestFit="1" customWidth="1"/>
    <col min="10" max="10" width="8.5" bestFit="1" customWidth="1"/>
    <col min="11" max="11" width="9.25" bestFit="1" customWidth="1"/>
    <col min="12" max="12" width="8.5" bestFit="1" customWidth="1"/>
    <col min="13" max="13" width="11" bestFit="1" customWidth="1"/>
    <col min="14" max="14" width="10.375" bestFit="1" customWidth="1"/>
    <col min="15" max="15" width="18" bestFit="1" customWidth="1"/>
    <col min="16" max="16" width="8.5" bestFit="1" customWidth="1"/>
    <col min="17" max="17" width="9.25" bestFit="1" customWidth="1"/>
    <col min="18" max="18" width="8.5" bestFit="1" customWidth="1"/>
    <col min="19" max="19" width="11" bestFit="1" customWidth="1"/>
  </cols>
  <sheetData>
    <row r="1" spans="1:19" x14ac:dyDescent="0.3">
      <c r="S1" s="6" t="s">
        <v>36</v>
      </c>
    </row>
    <row r="2" spans="1:19" x14ac:dyDescent="0.3">
      <c r="A2" s="9" t="s">
        <v>0</v>
      </c>
      <c r="B2" s="9" t="s">
        <v>2</v>
      </c>
      <c r="C2" s="9"/>
      <c r="D2" s="9"/>
      <c r="E2" s="9"/>
      <c r="F2" s="9"/>
      <c r="G2" s="9"/>
      <c r="H2" s="9" t="s">
        <v>3</v>
      </c>
      <c r="I2" s="9"/>
      <c r="J2" s="9"/>
      <c r="K2" s="9"/>
      <c r="L2" s="9"/>
      <c r="M2" s="9"/>
      <c r="N2" s="9" t="s">
        <v>4</v>
      </c>
      <c r="O2" s="9"/>
      <c r="P2" s="9"/>
      <c r="Q2" s="9"/>
      <c r="R2" s="9"/>
      <c r="S2" s="9"/>
    </row>
    <row r="3" spans="1:19" x14ac:dyDescent="0.3">
      <c r="A3" s="9"/>
      <c r="B3" s="5" t="s">
        <v>5</v>
      </c>
      <c r="C3" s="5" t="s">
        <v>6</v>
      </c>
      <c r="D3" s="5" t="s">
        <v>7</v>
      </c>
      <c r="E3" s="5" t="s">
        <v>6</v>
      </c>
      <c r="F3" s="5" t="s">
        <v>8</v>
      </c>
      <c r="G3" s="5" t="s">
        <v>9</v>
      </c>
      <c r="H3" s="5" t="s">
        <v>5</v>
      </c>
      <c r="I3" s="5" t="s">
        <v>6</v>
      </c>
      <c r="J3" s="5" t="s">
        <v>7</v>
      </c>
      <c r="K3" s="5" t="s">
        <v>6</v>
      </c>
      <c r="L3" s="5" t="s">
        <v>8</v>
      </c>
      <c r="M3" s="5" t="s">
        <v>9</v>
      </c>
      <c r="N3" s="5" t="s">
        <v>5</v>
      </c>
      <c r="O3" s="5" t="s">
        <v>6</v>
      </c>
      <c r="P3" s="5" t="s">
        <v>7</v>
      </c>
      <c r="Q3" s="5" t="s">
        <v>6</v>
      </c>
      <c r="R3" s="5" t="s">
        <v>8</v>
      </c>
      <c r="S3" s="5" t="s">
        <v>9</v>
      </c>
    </row>
    <row r="4" spans="1:19" x14ac:dyDescent="0.3">
      <c r="A4" s="3">
        <v>2032</v>
      </c>
      <c r="B4" s="3">
        <v>283.26100000000002</v>
      </c>
      <c r="C4" s="3" t="s">
        <v>10</v>
      </c>
      <c r="D4" s="3">
        <v>6.74</v>
      </c>
      <c r="E4" s="3" t="s">
        <v>11</v>
      </c>
      <c r="F4" s="3">
        <v>166.91200000000001</v>
      </c>
      <c r="G4" s="3">
        <v>170.244</v>
      </c>
      <c r="H4" s="3">
        <v>283.26100000000002</v>
      </c>
      <c r="I4" s="3" t="s">
        <v>10</v>
      </c>
      <c r="J4" s="3">
        <v>6.74</v>
      </c>
      <c r="K4" s="3" t="s">
        <v>11</v>
      </c>
      <c r="L4" s="3">
        <v>166.91200000000001</v>
      </c>
      <c r="M4" s="3">
        <v>170.244</v>
      </c>
      <c r="N4" s="3">
        <v>283.26100000000002</v>
      </c>
      <c r="O4" s="3" t="s">
        <v>10</v>
      </c>
      <c r="P4" s="3">
        <v>6.74</v>
      </c>
      <c r="Q4" s="3" t="s">
        <v>11</v>
      </c>
      <c r="R4" s="3">
        <v>164.38800000000001</v>
      </c>
      <c r="S4" s="3">
        <v>166.24</v>
      </c>
    </row>
    <row r="5" spans="1:19" x14ac:dyDescent="0.3">
      <c r="A5" s="3">
        <v>2033</v>
      </c>
      <c r="B5" s="3">
        <v>321.65100000000001</v>
      </c>
      <c r="C5" s="3" t="s">
        <v>10</v>
      </c>
      <c r="D5" s="3">
        <v>6.74</v>
      </c>
      <c r="E5" s="3" t="s">
        <v>11</v>
      </c>
      <c r="F5" s="3">
        <v>176.428</v>
      </c>
      <c r="G5" s="3">
        <v>179.48099999999999</v>
      </c>
      <c r="H5" s="3">
        <v>321.65100000000001</v>
      </c>
      <c r="I5" s="3" t="s">
        <v>10</v>
      </c>
      <c r="J5" s="3">
        <v>6.74</v>
      </c>
      <c r="K5" s="3" t="s">
        <v>11</v>
      </c>
      <c r="L5" s="3">
        <v>176.428</v>
      </c>
      <c r="M5" s="3">
        <v>179.48099999999999</v>
      </c>
      <c r="N5" s="3">
        <v>321.65100000000001</v>
      </c>
      <c r="O5" s="3" t="s">
        <v>10</v>
      </c>
      <c r="P5" s="3">
        <v>6.74</v>
      </c>
      <c r="Q5" s="3" t="s">
        <v>11</v>
      </c>
      <c r="R5" s="3">
        <v>176.983</v>
      </c>
      <c r="S5" s="3">
        <v>178.97399999999999</v>
      </c>
    </row>
    <row r="6" spans="1:19" x14ac:dyDescent="0.3">
      <c r="A6" s="3">
        <v>2034</v>
      </c>
      <c r="B6" s="3">
        <v>337.20800000000003</v>
      </c>
      <c r="C6" s="3" t="s">
        <v>10</v>
      </c>
      <c r="D6" s="3">
        <v>6.6989999999999998</v>
      </c>
      <c r="E6" s="3" t="s">
        <v>12</v>
      </c>
      <c r="F6" s="3">
        <v>178.09700000000001</v>
      </c>
      <c r="G6" s="3">
        <v>181.37799999999999</v>
      </c>
      <c r="H6" s="3">
        <v>337.20800000000003</v>
      </c>
      <c r="I6" s="3" t="s">
        <v>10</v>
      </c>
      <c r="J6" s="3">
        <v>6.6989999999999998</v>
      </c>
      <c r="K6" s="3" t="s">
        <v>12</v>
      </c>
      <c r="L6" s="3">
        <v>178.09700000000001</v>
      </c>
      <c r="M6" s="3">
        <v>181.37799999999999</v>
      </c>
      <c r="N6" s="3">
        <v>337.20800000000003</v>
      </c>
      <c r="O6" s="3" t="s">
        <v>10</v>
      </c>
      <c r="P6" s="3">
        <v>6.6989999999999998</v>
      </c>
      <c r="Q6" s="3" t="s">
        <v>12</v>
      </c>
      <c r="R6" s="3">
        <v>181.434</v>
      </c>
      <c r="S6" s="3">
        <v>183.89400000000001</v>
      </c>
    </row>
    <row r="7" spans="1:19" x14ac:dyDescent="0.3">
      <c r="A7" s="3">
        <v>2035</v>
      </c>
      <c r="B7" s="3">
        <v>331.99599999999998</v>
      </c>
      <c r="C7" s="3" t="s">
        <v>10</v>
      </c>
      <c r="D7" s="3">
        <v>13.513999999999999</v>
      </c>
      <c r="E7" s="3" t="s">
        <v>13</v>
      </c>
      <c r="F7" s="3">
        <v>175.96700000000001</v>
      </c>
      <c r="G7" s="3">
        <v>179.506</v>
      </c>
      <c r="H7" s="3">
        <v>331.99599999999998</v>
      </c>
      <c r="I7" s="3" t="s">
        <v>10</v>
      </c>
      <c r="J7" s="3">
        <v>13.513999999999999</v>
      </c>
      <c r="K7" s="3" t="s">
        <v>13</v>
      </c>
      <c r="L7" s="3">
        <v>175.96700000000001</v>
      </c>
      <c r="M7" s="3">
        <v>179.506</v>
      </c>
      <c r="N7" s="3">
        <v>331.99599999999998</v>
      </c>
      <c r="O7" s="3" t="s">
        <v>10</v>
      </c>
      <c r="P7" s="3">
        <v>13.513999999999999</v>
      </c>
      <c r="Q7" s="3" t="s">
        <v>13</v>
      </c>
      <c r="R7" s="3">
        <v>180.28100000000001</v>
      </c>
      <c r="S7" s="3">
        <v>183.19800000000001</v>
      </c>
    </row>
    <row r="8" spans="1:19" x14ac:dyDescent="0.3">
      <c r="A8" s="3">
        <v>2036</v>
      </c>
      <c r="B8" s="3">
        <v>336.233</v>
      </c>
      <c r="C8" s="3" t="s">
        <v>10</v>
      </c>
      <c r="D8" s="3">
        <v>6.9139999999999997</v>
      </c>
      <c r="E8" s="3" t="s">
        <v>11</v>
      </c>
      <c r="F8" s="3">
        <v>173.73500000000001</v>
      </c>
      <c r="G8" s="3">
        <v>177.48099999999999</v>
      </c>
      <c r="H8" s="3">
        <v>336.233</v>
      </c>
      <c r="I8" s="3" t="s">
        <v>10</v>
      </c>
      <c r="J8" s="3">
        <v>6.9139999999999997</v>
      </c>
      <c r="K8" s="3" t="s">
        <v>11</v>
      </c>
      <c r="L8" s="3">
        <v>173.73500000000001</v>
      </c>
      <c r="M8" s="3">
        <v>177.48099999999999</v>
      </c>
      <c r="N8" s="3">
        <v>336.233</v>
      </c>
      <c r="O8" s="3" t="s">
        <v>10</v>
      </c>
      <c r="P8" s="3">
        <v>6.9139999999999997</v>
      </c>
      <c r="Q8" s="3" t="s">
        <v>11</v>
      </c>
      <c r="R8" s="3">
        <v>178.184</v>
      </c>
      <c r="S8" s="3">
        <v>181.226</v>
      </c>
    </row>
    <row r="9" spans="1:19" x14ac:dyDescent="0.3">
      <c r="A9" s="3">
        <v>2037</v>
      </c>
      <c r="B9" s="3">
        <v>329.31099999999998</v>
      </c>
      <c r="C9" s="3" t="s">
        <v>10</v>
      </c>
      <c r="D9" s="3">
        <v>6.6989999999999998</v>
      </c>
      <c r="E9" s="3" t="s">
        <v>12</v>
      </c>
      <c r="F9" s="3">
        <v>166.31700000000001</v>
      </c>
      <c r="G9" s="3">
        <v>169.87799999999999</v>
      </c>
      <c r="H9" s="3">
        <v>329.31099999999998</v>
      </c>
      <c r="I9" s="3" t="s">
        <v>10</v>
      </c>
      <c r="J9" s="3">
        <v>6.6989999999999998</v>
      </c>
      <c r="K9" s="3" t="s">
        <v>12</v>
      </c>
      <c r="L9" s="3">
        <v>166.31700000000001</v>
      </c>
      <c r="M9" s="3">
        <v>169.87799999999999</v>
      </c>
      <c r="N9" s="3">
        <v>346.21699999999998</v>
      </c>
      <c r="O9" s="3" t="s">
        <v>14</v>
      </c>
      <c r="P9" s="3">
        <v>6.6989999999999998</v>
      </c>
      <c r="Q9" s="3" t="s">
        <v>12</v>
      </c>
      <c r="R9" s="3">
        <v>172.09800000000001</v>
      </c>
      <c r="S9" s="3">
        <v>175.304</v>
      </c>
    </row>
    <row r="10" spans="1:19" x14ac:dyDescent="0.3">
      <c r="A10" s="3">
        <v>2038</v>
      </c>
      <c r="B10" s="3">
        <v>331.815</v>
      </c>
      <c r="C10" s="3" t="s">
        <v>10</v>
      </c>
      <c r="D10" s="3">
        <v>6.7649999999999997</v>
      </c>
      <c r="E10" s="3" t="s">
        <v>12</v>
      </c>
      <c r="F10" s="3">
        <v>161.91300000000001</v>
      </c>
      <c r="G10" s="3">
        <v>164.61199999999999</v>
      </c>
      <c r="H10" s="3">
        <v>331.815</v>
      </c>
      <c r="I10" s="3" t="s">
        <v>10</v>
      </c>
      <c r="J10" s="3">
        <v>6.7649999999999997</v>
      </c>
      <c r="K10" s="3" t="s">
        <v>12</v>
      </c>
      <c r="L10" s="3">
        <v>161.91300000000001</v>
      </c>
      <c r="M10" s="3">
        <v>164.61199999999999</v>
      </c>
      <c r="N10" s="3">
        <v>333.37900000000002</v>
      </c>
      <c r="O10" s="3" t="s">
        <v>15</v>
      </c>
      <c r="P10" s="3">
        <v>6.7649999999999997</v>
      </c>
      <c r="Q10" s="3" t="s">
        <v>12</v>
      </c>
      <c r="R10" s="3">
        <v>166.893</v>
      </c>
      <c r="S10" s="3">
        <v>169.32599999999999</v>
      </c>
    </row>
    <row r="11" spans="1:19" x14ac:dyDescent="0.3">
      <c r="A11" s="3">
        <v>2039</v>
      </c>
      <c r="B11" s="3">
        <v>325.47699999999998</v>
      </c>
      <c r="C11" s="3" t="s">
        <v>10</v>
      </c>
      <c r="D11" s="3">
        <v>106.21299999999999</v>
      </c>
      <c r="E11" s="3" t="s">
        <v>16</v>
      </c>
      <c r="F11" s="3">
        <v>165.667</v>
      </c>
      <c r="G11" s="3">
        <v>167.863</v>
      </c>
      <c r="H11" s="3">
        <v>325.47699999999998</v>
      </c>
      <c r="I11" s="3" t="s">
        <v>10</v>
      </c>
      <c r="J11" s="3">
        <v>106.21299999999999</v>
      </c>
      <c r="K11" s="3" t="s">
        <v>16</v>
      </c>
      <c r="L11" s="3">
        <v>165.667</v>
      </c>
      <c r="M11" s="3">
        <v>167.863</v>
      </c>
      <c r="N11" s="3">
        <v>332.82900000000001</v>
      </c>
      <c r="O11" s="3" t="s">
        <v>14</v>
      </c>
      <c r="P11" s="3">
        <v>106.21299999999999</v>
      </c>
      <c r="Q11" s="3" t="s">
        <v>16</v>
      </c>
      <c r="R11" s="3">
        <v>169.63</v>
      </c>
      <c r="S11" s="3">
        <v>171.65100000000001</v>
      </c>
    </row>
    <row r="12" spans="1:19" x14ac:dyDescent="0.3">
      <c r="A12" s="3">
        <v>2040</v>
      </c>
      <c r="B12" s="3">
        <v>324.238</v>
      </c>
      <c r="C12" s="3" t="s">
        <v>10</v>
      </c>
      <c r="D12" s="3">
        <v>6.7329999999999997</v>
      </c>
      <c r="E12" s="3" t="s">
        <v>17</v>
      </c>
      <c r="F12" s="3">
        <v>165.202</v>
      </c>
      <c r="G12" s="3">
        <v>167.52199999999999</v>
      </c>
      <c r="H12" s="3">
        <v>324.238</v>
      </c>
      <c r="I12" s="3" t="s">
        <v>10</v>
      </c>
      <c r="J12" s="3">
        <v>6.7329999999999997</v>
      </c>
      <c r="K12" s="3" t="s">
        <v>17</v>
      </c>
      <c r="L12" s="3">
        <v>165.202</v>
      </c>
      <c r="M12" s="3">
        <v>167.52199999999999</v>
      </c>
      <c r="N12" s="3">
        <v>328.20400000000001</v>
      </c>
      <c r="O12" s="3" t="s">
        <v>15</v>
      </c>
      <c r="P12" s="3">
        <v>6.7329999999999997</v>
      </c>
      <c r="Q12" s="3" t="s">
        <v>17</v>
      </c>
      <c r="R12" s="3">
        <v>169.328</v>
      </c>
      <c r="S12" s="3">
        <v>171.39599999999999</v>
      </c>
    </row>
    <row r="13" spans="1:19" x14ac:dyDescent="0.3">
      <c r="A13" s="3">
        <v>2041</v>
      </c>
      <c r="B13" s="3">
        <v>331.37400000000002</v>
      </c>
      <c r="C13" s="3" t="s">
        <v>10</v>
      </c>
      <c r="D13" s="3">
        <v>6.7649999999999997</v>
      </c>
      <c r="E13" s="3" t="s">
        <v>12</v>
      </c>
      <c r="F13" s="3">
        <v>165.571</v>
      </c>
      <c r="G13" s="3">
        <v>168.048</v>
      </c>
      <c r="H13" s="3">
        <v>331.37400000000002</v>
      </c>
      <c r="I13" s="3" t="s">
        <v>10</v>
      </c>
      <c r="J13" s="3">
        <v>6.7649999999999997</v>
      </c>
      <c r="K13" s="3" t="s">
        <v>12</v>
      </c>
      <c r="L13" s="3">
        <v>165.571</v>
      </c>
      <c r="M13" s="3">
        <v>168.048</v>
      </c>
      <c r="N13" s="3">
        <v>341.46199999999999</v>
      </c>
      <c r="O13" s="3" t="s">
        <v>14</v>
      </c>
      <c r="P13" s="3">
        <v>6.7649999999999997</v>
      </c>
      <c r="Q13" s="3" t="s">
        <v>12</v>
      </c>
      <c r="R13" s="3">
        <v>169.93600000000001</v>
      </c>
      <c r="S13" s="3">
        <v>172.053</v>
      </c>
    </row>
    <row r="14" spans="1:19" x14ac:dyDescent="0.3">
      <c r="A14" s="3">
        <v>2042</v>
      </c>
      <c r="B14" s="3">
        <v>341.76400000000001</v>
      </c>
      <c r="C14" s="3" t="s">
        <v>10</v>
      </c>
      <c r="D14" s="3">
        <v>6.8140000000000001</v>
      </c>
      <c r="E14" s="3" t="s">
        <v>12</v>
      </c>
      <c r="F14" s="3">
        <v>165.91200000000001</v>
      </c>
      <c r="G14" s="3">
        <v>168.429</v>
      </c>
      <c r="H14" s="3">
        <v>341.76400000000001</v>
      </c>
      <c r="I14" s="3" t="s">
        <v>10</v>
      </c>
      <c r="J14" s="3">
        <v>6.8140000000000001</v>
      </c>
      <c r="K14" s="3" t="s">
        <v>12</v>
      </c>
      <c r="L14" s="3">
        <v>165.91200000000001</v>
      </c>
      <c r="M14" s="3">
        <v>168.429</v>
      </c>
      <c r="N14" s="3">
        <v>342.53399999999999</v>
      </c>
      <c r="O14" s="3" t="s">
        <v>15</v>
      </c>
      <c r="P14" s="3">
        <v>6.8140000000000001</v>
      </c>
      <c r="Q14" s="3" t="s">
        <v>12</v>
      </c>
      <c r="R14" s="3">
        <v>170.75800000000001</v>
      </c>
      <c r="S14" s="3">
        <v>173.001</v>
      </c>
    </row>
    <row r="15" spans="1:19" x14ac:dyDescent="0.3">
      <c r="A15" s="3">
        <v>2043</v>
      </c>
      <c r="B15" s="3">
        <v>356.005</v>
      </c>
      <c r="C15" s="3" t="s">
        <v>10</v>
      </c>
      <c r="D15" s="3">
        <v>6.6230000000000002</v>
      </c>
      <c r="E15" s="3" t="s">
        <v>18</v>
      </c>
      <c r="F15" s="3">
        <v>168.10499999999999</v>
      </c>
      <c r="G15" s="3">
        <v>170.751</v>
      </c>
      <c r="H15" s="3">
        <v>356.005</v>
      </c>
      <c r="I15" s="3" t="s">
        <v>10</v>
      </c>
      <c r="J15" s="3">
        <v>6.6230000000000002</v>
      </c>
      <c r="K15" s="3" t="s">
        <v>18</v>
      </c>
      <c r="L15" s="3">
        <v>168.10499999999999</v>
      </c>
      <c r="M15" s="3">
        <v>170.751</v>
      </c>
      <c r="N15" s="3">
        <v>356.005</v>
      </c>
      <c r="O15" s="3" t="s">
        <v>10</v>
      </c>
      <c r="P15" s="3">
        <v>6.6230000000000002</v>
      </c>
      <c r="Q15" s="3" t="s">
        <v>18</v>
      </c>
      <c r="R15" s="3">
        <v>173.45699999999999</v>
      </c>
      <c r="S15" s="3">
        <v>175.875</v>
      </c>
    </row>
    <row r="16" spans="1:19" x14ac:dyDescent="0.3">
      <c r="A16" s="3">
        <v>2044</v>
      </c>
      <c r="B16" s="3">
        <v>343.78100000000001</v>
      </c>
      <c r="C16" s="3" t="s">
        <v>10</v>
      </c>
      <c r="D16" s="3">
        <v>6.609</v>
      </c>
      <c r="E16" s="3" t="s">
        <v>19</v>
      </c>
      <c r="F16" s="3">
        <v>171.04</v>
      </c>
      <c r="G16" s="3">
        <v>173.46799999999999</v>
      </c>
      <c r="H16" s="3">
        <v>343.78100000000001</v>
      </c>
      <c r="I16" s="3" t="s">
        <v>10</v>
      </c>
      <c r="J16" s="3">
        <v>6.609</v>
      </c>
      <c r="K16" s="3" t="s">
        <v>19</v>
      </c>
      <c r="L16" s="3">
        <v>171.04</v>
      </c>
      <c r="M16" s="3">
        <v>173.46799999999999</v>
      </c>
      <c r="N16" s="3">
        <v>360.59100000000001</v>
      </c>
      <c r="O16" s="3" t="s">
        <v>14</v>
      </c>
      <c r="P16" s="3">
        <v>6.609</v>
      </c>
      <c r="Q16" s="3" t="s">
        <v>19</v>
      </c>
      <c r="R16" s="3">
        <v>175.87200000000001</v>
      </c>
      <c r="S16" s="3">
        <v>178.10900000000001</v>
      </c>
    </row>
    <row r="17" spans="1:19" x14ac:dyDescent="0.3">
      <c r="A17" s="3">
        <v>2045</v>
      </c>
      <c r="B17" s="3">
        <v>811.25599999999997</v>
      </c>
      <c r="C17" s="3" t="s">
        <v>20</v>
      </c>
      <c r="D17" s="3">
        <v>6.7960000000000003</v>
      </c>
      <c r="E17" s="3" t="s">
        <v>18</v>
      </c>
      <c r="F17" s="3">
        <v>175.36600000000001</v>
      </c>
      <c r="G17" s="3">
        <v>177.89</v>
      </c>
      <c r="H17" s="3">
        <v>811.25599999999997</v>
      </c>
      <c r="I17" s="3" t="s">
        <v>20</v>
      </c>
      <c r="J17" s="3">
        <v>6.7960000000000003</v>
      </c>
      <c r="K17" s="3" t="s">
        <v>18</v>
      </c>
      <c r="L17" s="3">
        <v>175.36600000000001</v>
      </c>
      <c r="M17" s="3">
        <v>177.89</v>
      </c>
      <c r="N17" s="3">
        <v>811.25599999999997</v>
      </c>
      <c r="O17" s="3" t="s">
        <v>20</v>
      </c>
      <c r="P17" s="3">
        <v>6.8150000000000004</v>
      </c>
      <c r="Q17" s="3" t="s">
        <v>19</v>
      </c>
      <c r="R17" s="3">
        <v>179.53200000000001</v>
      </c>
      <c r="S17" s="3">
        <v>181.89099999999999</v>
      </c>
    </row>
    <row r="18" spans="1:19" x14ac:dyDescent="0.3">
      <c r="A18" s="3">
        <v>2046</v>
      </c>
      <c r="B18" s="3">
        <v>435.67099999999999</v>
      </c>
      <c r="C18" s="3" t="s">
        <v>21</v>
      </c>
      <c r="D18" s="3">
        <v>0</v>
      </c>
      <c r="E18" s="3"/>
      <c r="F18" s="3">
        <v>180.81800000000001</v>
      </c>
      <c r="G18" s="3">
        <v>181.87200000000001</v>
      </c>
      <c r="H18" s="3">
        <v>435.67099999999999</v>
      </c>
      <c r="I18" s="3" t="s">
        <v>21</v>
      </c>
      <c r="J18" s="3">
        <v>0</v>
      </c>
      <c r="K18" s="3"/>
      <c r="L18" s="3">
        <v>180.81800000000001</v>
      </c>
      <c r="M18" s="3">
        <v>181.87200000000001</v>
      </c>
      <c r="N18" s="3">
        <v>435.67099999999999</v>
      </c>
      <c r="O18" s="3" t="s">
        <v>21</v>
      </c>
      <c r="P18" s="3">
        <v>0</v>
      </c>
      <c r="Q18" s="3"/>
      <c r="R18" s="3">
        <v>184.82900000000001</v>
      </c>
      <c r="S18" s="3">
        <v>185.89099999999999</v>
      </c>
    </row>
    <row r="19" spans="1:19" x14ac:dyDescent="0.3">
      <c r="A19" s="3">
        <v>2047</v>
      </c>
      <c r="B19" s="3">
        <v>376.08499999999998</v>
      </c>
      <c r="C19" s="3" t="s">
        <v>22</v>
      </c>
      <c r="D19" s="3">
        <v>0</v>
      </c>
      <c r="E19" s="3"/>
      <c r="F19" s="3">
        <v>166.01900000000001</v>
      </c>
      <c r="G19" s="3">
        <v>165.839</v>
      </c>
      <c r="H19" s="3">
        <v>376.08499999999998</v>
      </c>
      <c r="I19" s="3" t="s">
        <v>22</v>
      </c>
      <c r="J19" s="3">
        <v>0</v>
      </c>
      <c r="K19" s="3"/>
      <c r="L19" s="3">
        <v>166.01900000000001</v>
      </c>
      <c r="M19" s="3">
        <v>165.839</v>
      </c>
      <c r="N19" s="3">
        <v>377.51400000000001</v>
      </c>
      <c r="O19" s="3" t="s">
        <v>14</v>
      </c>
      <c r="P19" s="3">
        <v>0</v>
      </c>
      <c r="Q19" s="3"/>
      <c r="R19" s="3">
        <v>172.655</v>
      </c>
      <c r="S19" s="3">
        <v>173.52099999999999</v>
      </c>
    </row>
    <row r="20" spans="1:19" x14ac:dyDescent="0.3">
      <c r="A20" s="3">
        <v>2048</v>
      </c>
      <c r="B20" s="3">
        <v>371.42099999999999</v>
      </c>
      <c r="C20" s="3" t="s">
        <v>22</v>
      </c>
      <c r="D20" s="3">
        <v>0</v>
      </c>
      <c r="E20" s="3"/>
      <c r="F20" s="3">
        <v>167.05099999999999</v>
      </c>
      <c r="G20" s="3">
        <v>167.137</v>
      </c>
      <c r="H20" s="3">
        <v>371.42099999999999</v>
      </c>
      <c r="I20" s="3" t="s">
        <v>22</v>
      </c>
      <c r="J20" s="3">
        <v>0</v>
      </c>
      <c r="K20" s="3"/>
      <c r="L20" s="3">
        <v>167.05099999999999</v>
      </c>
      <c r="M20" s="3">
        <v>167.137</v>
      </c>
      <c r="N20" s="3">
        <v>375.76100000000002</v>
      </c>
      <c r="O20" s="3" t="s">
        <v>15</v>
      </c>
      <c r="P20" s="3">
        <v>0</v>
      </c>
      <c r="Q20" s="3"/>
      <c r="R20" s="3">
        <v>173.678</v>
      </c>
      <c r="S20" s="3">
        <v>174.71799999999999</v>
      </c>
    </row>
    <row r="21" spans="1:19" x14ac:dyDescent="0.3">
      <c r="A21" s="3">
        <v>2049</v>
      </c>
      <c r="B21" s="3">
        <v>441.93</v>
      </c>
      <c r="C21" s="3" t="s">
        <v>21</v>
      </c>
      <c r="D21" s="3">
        <v>0</v>
      </c>
      <c r="E21" s="3"/>
      <c r="F21" s="3">
        <v>165.74199999999999</v>
      </c>
      <c r="G21" s="3">
        <v>165.179</v>
      </c>
      <c r="H21" s="3">
        <v>441.93</v>
      </c>
      <c r="I21" s="3" t="s">
        <v>21</v>
      </c>
      <c r="J21" s="3">
        <v>0</v>
      </c>
      <c r="K21" s="3"/>
      <c r="L21" s="3">
        <v>165.74199999999999</v>
      </c>
      <c r="M21" s="3">
        <v>165.179</v>
      </c>
      <c r="N21" s="3">
        <v>441.93</v>
      </c>
      <c r="O21" s="3" t="s">
        <v>21</v>
      </c>
      <c r="P21" s="3">
        <v>0</v>
      </c>
      <c r="Q21" s="3"/>
      <c r="R21" s="3">
        <v>172.7</v>
      </c>
      <c r="S21" s="3">
        <v>173.32300000000001</v>
      </c>
    </row>
    <row r="22" spans="1:19" x14ac:dyDescent="0.3">
      <c r="A22" s="3">
        <v>2050</v>
      </c>
      <c r="B22" s="3">
        <v>371.77800000000002</v>
      </c>
      <c r="C22" s="3" t="s">
        <v>22</v>
      </c>
      <c r="D22" s="3">
        <v>0</v>
      </c>
      <c r="E22" s="3"/>
      <c r="F22" s="3">
        <v>164.268</v>
      </c>
      <c r="G22" s="3">
        <v>163.22200000000001</v>
      </c>
      <c r="H22" s="3">
        <v>371.77800000000002</v>
      </c>
      <c r="I22" s="3" t="s">
        <v>22</v>
      </c>
      <c r="J22" s="3">
        <v>0</v>
      </c>
      <c r="K22" s="3"/>
      <c r="L22" s="3">
        <v>164.268</v>
      </c>
      <c r="M22" s="3">
        <v>163.22200000000001</v>
      </c>
      <c r="N22" s="3">
        <v>371.77800000000002</v>
      </c>
      <c r="O22" s="3" t="s">
        <v>22</v>
      </c>
      <c r="P22" s="3">
        <v>0</v>
      </c>
      <c r="Q22" s="3"/>
      <c r="R22" s="3">
        <v>172.40899999999999</v>
      </c>
      <c r="S22" s="3">
        <v>172.97399999999999</v>
      </c>
    </row>
    <row r="23" spans="1:19" x14ac:dyDescent="0.3">
      <c r="A23" s="3">
        <v>2051</v>
      </c>
      <c r="B23" s="3">
        <v>352.64600000000002</v>
      </c>
      <c r="C23" s="3" t="s">
        <v>23</v>
      </c>
      <c r="D23" s="3">
        <v>0</v>
      </c>
      <c r="E23" s="3"/>
      <c r="F23" s="3">
        <v>144.429</v>
      </c>
      <c r="G23" s="3">
        <v>144.464</v>
      </c>
      <c r="H23" s="3">
        <v>352.64600000000002</v>
      </c>
      <c r="I23" s="3" t="s">
        <v>23</v>
      </c>
      <c r="J23" s="3">
        <v>0</v>
      </c>
      <c r="K23" s="3"/>
      <c r="L23" s="3">
        <v>144.429</v>
      </c>
      <c r="M23" s="3">
        <v>144.464</v>
      </c>
      <c r="N23" s="3">
        <v>352.64600000000002</v>
      </c>
      <c r="O23" s="3" t="s">
        <v>23</v>
      </c>
      <c r="P23" s="3">
        <v>0</v>
      </c>
      <c r="Q23" s="3"/>
      <c r="R23" s="3">
        <v>153.27099999999999</v>
      </c>
      <c r="S23" s="3">
        <v>154.57300000000001</v>
      </c>
    </row>
    <row r="24" spans="1:19" x14ac:dyDescent="0.3">
      <c r="A24" s="3">
        <v>2052</v>
      </c>
      <c r="B24" s="3">
        <v>348.09399999999999</v>
      </c>
      <c r="C24" s="3" t="s">
        <v>24</v>
      </c>
      <c r="D24" s="3">
        <v>0</v>
      </c>
      <c r="E24" s="3"/>
      <c r="F24" s="3">
        <v>147.96799999999999</v>
      </c>
      <c r="G24" s="3">
        <v>147.27500000000001</v>
      </c>
      <c r="H24" s="3">
        <v>348.09399999999999</v>
      </c>
      <c r="I24" s="3" t="s">
        <v>24</v>
      </c>
      <c r="J24" s="3">
        <v>0</v>
      </c>
      <c r="K24" s="3"/>
      <c r="L24" s="3">
        <v>147.96799999999999</v>
      </c>
      <c r="M24" s="3">
        <v>147.27500000000001</v>
      </c>
      <c r="N24" s="3">
        <v>348.09399999999999</v>
      </c>
      <c r="O24" s="3" t="s">
        <v>24</v>
      </c>
      <c r="P24" s="3">
        <v>0</v>
      </c>
      <c r="Q24" s="3"/>
      <c r="R24" s="3">
        <v>153.708</v>
      </c>
      <c r="S24" s="3">
        <v>154.28100000000001</v>
      </c>
    </row>
    <row r="25" spans="1:19" x14ac:dyDescent="0.3">
      <c r="A25" s="3">
        <v>2053</v>
      </c>
      <c r="B25" s="3">
        <v>350.565</v>
      </c>
      <c r="C25" s="3" t="s">
        <v>24</v>
      </c>
      <c r="D25" s="3">
        <v>0</v>
      </c>
      <c r="E25" s="3"/>
      <c r="F25" s="3">
        <v>154.86799999999999</v>
      </c>
      <c r="G25" s="3">
        <v>154.154</v>
      </c>
      <c r="H25" s="3">
        <v>350.565</v>
      </c>
      <c r="I25" s="3" t="s">
        <v>24</v>
      </c>
      <c r="J25" s="3">
        <v>0</v>
      </c>
      <c r="K25" s="3"/>
      <c r="L25" s="3">
        <v>154.86799999999999</v>
      </c>
      <c r="M25" s="3">
        <v>154.154</v>
      </c>
      <c r="N25" s="3">
        <v>350.565</v>
      </c>
      <c r="O25" s="3" t="s">
        <v>24</v>
      </c>
      <c r="P25" s="3">
        <v>0</v>
      </c>
      <c r="Q25" s="3"/>
      <c r="R25" s="3">
        <v>164.75299999999999</v>
      </c>
      <c r="S25" s="3">
        <v>165.53299999999999</v>
      </c>
    </row>
    <row r="26" spans="1:19" x14ac:dyDescent="0.3">
      <c r="A26" s="3">
        <v>2054</v>
      </c>
      <c r="B26" s="3">
        <v>358.01</v>
      </c>
      <c r="C26" s="3" t="s">
        <v>23</v>
      </c>
      <c r="D26" s="3">
        <v>0</v>
      </c>
      <c r="E26" s="3"/>
      <c r="F26" s="3">
        <v>149.35300000000001</v>
      </c>
      <c r="G26" s="3">
        <v>149.40299999999999</v>
      </c>
      <c r="H26" s="3">
        <v>358.01</v>
      </c>
      <c r="I26" s="3" t="s">
        <v>23</v>
      </c>
      <c r="J26" s="3">
        <v>0</v>
      </c>
      <c r="K26" s="3"/>
      <c r="L26" s="3">
        <v>149.35300000000001</v>
      </c>
      <c r="M26" s="3">
        <v>149.40299999999999</v>
      </c>
      <c r="N26" s="3">
        <v>358.01</v>
      </c>
      <c r="O26" s="3" t="s">
        <v>23</v>
      </c>
      <c r="P26" s="3">
        <v>0</v>
      </c>
      <c r="Q26" s="3"/>
      <c r="R26" s="3">
        <v>159.80000000000001</v>
      </c>
      <c r="S26" s="3">
        <v>161.06299999999999</v>
      </c>
    </row>
    <row r="27" spans="1:19" x14ac:dyDescent="0.3">
      <c r="A27" s="3">
        <v>2055</v>
      </c>
      <c r="B27" s="3">
        <v>457.21</v>
      </c>
      <c r="C27" s="3" t="s">
        <v>21</v>
      </c>
      <c r="D27" s="3">
        <v>0</v>
      </c>
      <c r="E27" s="3"/>
      <c r="F27" s="3">
        <v>117.89</v>
      </c>
      <c r="G27" s="3">
        <v>115.499</v>
      </c>
      <c r="H27" s="3">
        <v>457.21</v>
      </c>
      <c r="I27" s="3" t="s">
        <v>21</v>
      </c>
      <c r="J27" s="3">
        <v>0</v>
      </c>
      <c r="K27" s="3"/>
      <c r="L27" s="3">
        <v>117.89</v>
      </c>
      <c r="M27" s="3">
        <v>115.499</v>
      </c>
      <c r="N27" s="3">
        <v>457.21</v>
      </c>
      <c r="O27" s="3" t="s">
        <v>21</v>
      </c>
      <c r="P27" s="3">
        <v>0</v>
      </c>
      <c r="Q27" s="3"/>
      <c r="R27" s="3">
        <v>129.13800000000001</v>
      </c>
      <c r="S27" s="3">
        <v>128.88999999999999</v>
      </c>
    </row>
    <row r="28" spans="1:19" x14ac:dyDescent="0.3">
      <c r="A28" s="3">
        <v>2056</v>
      </c>
      <c r="B28" s="3">
        <v>412.59699999999998</v>
      </c>
      <c r="C28" s="3" t="s">
        <v>25</v>
      </c>
      <c r="D28" s="3">
        <v>0</v>
      </c>
      <c r="E28" s="3"/>
      <c r="F28" s="3">
        <v>132.84200000000001</v>
      </c>
      <c r="G28" s="3">
        <v>130.52199999999999</v>
      </c>
      <c r="H28" s="3">
        <v>412.59699999999998</v>
      </c>
      <c r="I28" s="3" t="s">
        <v>25</v>
      </c>
      <c r="J28" s="3">
        <v>0</v>
      </c>
      <c r="K28" s="3"/>
      <c r="L28" s="3">
        <v>132.84200000000001</v>
      </c>
      <c r="M28" s="3">
        <v>130.52199999999999</v>
      </c>
      <c r="N28" s="3">
        <v>412.59699999999998</v>
      </c>
      <c r="O28" s="3" t="s">
        <v>25</v>
      </c>
      <c r="P28" s="3">
        <v>0</v>
      </c>
      <c r="Q28" s="3"/>
      <c r="R28" s="3">
        <v>140.79300000000001</v>
      </c>
      <c r="S28" s="3">
        <v>140.39099999999999</v>
      </c>
    </row>
    <row r="29" spans="1:19" x14ac:dyDescent="0.3">
      <c r="A29" s="3">
        <v>2057</v>
      </c>
      <c r="B29" s="3">
        <v>392.44299999999998</v>
      </c>
      <c r="C29" s="3" t="s">
        <v>22</v>
      </c>
      <c r="D29" s="3">
        <v>0</v>
      </c>
      <c r="E29" s="3"/>
      <c r="F29" s="3">
        <v>129.22399999999999</v>
      </c>
      <c r="G29" s="3">
        <v>126.13500000000001</v>
      </c>
      <c r="H29" s="3">
        <v>392.44299999999998</v>
      </c>
      <c r="I29" s="3" t="s">
        <v>22</v>
      </c>
      <c r="J29" s="3">
        <v>0</v>
      </c>
      <c r="K29" s="3"/>
      <c r="L29" s="3">
        <v>129.22399999999999</v>
      </c>
      <c r="M29" s="3">
        <v>126.13500000000001</v>
      </c>
      <c r="N29" s="3">
        <v>392.44299999999998</v>
      </c>
      <c r="O29" s="3" t="s">
        <v>22</v>
      </c>
      <c r="P29" s="3">
        <v>0</v>
      </c>
      <c r="Q29" s="3"/>
      <c r="R29" s="3">
        <v>129.232</v>
      </c>
      <c r="S29" s="3">
        <v>127.869</v>
      </c>
    </row>
    <row r="30" spans="1:19" x14ac:dyDescent="0.3">
      <c r="A30" s="3">
        <v>2058</v>
      </c>
      <c r="B30" s="3">
        <v>417.51100000000002</v>
      </c>
      <c r="C30" s="3" t="s">
        <v>25</v>
      </c>
      <c r="D30" s="3">
        <v>0</v>
      </c>
      <c r="E30" s="3"/>
      <c r="F30" s="3">
        <v>122.995</v>
      </c>
      <c r="G30" s="3">
        <v>120.82299999999999</v>
      </c>
      <c r="H30" s="3">
        <v>417.51100000000002</v>
      </c>
      <c r="I30" s="3" t="s">
        <v>25</v>
      </c>
      <c r="J30" s="3">
        <v>0</v>
      </c>
      <c r="K30" s="3"/>
      <c r="L30" s="3">
        <v>122.995</v>
      </c>
      <c r="M30" s="3">
        <v>120.82299999999999</v>
      </c>
      <c r="N30" s="3">
        <v>417.51100000000002</v>
      </c>
      <c r="O30" s="3" t="s">
        <v>25</v>
      </c>
      <c r="P30" s="3">
        <v>0</v>
      </c>
      <c r="Q30" s="3"/>
      <c r="R30" s="3">
        <v>122.995</v>
      </c>
      <c r="S30" s="3">
        <v>122.57299999999999</v>
      </c>
    </row>
    <row r="31" spans="1:19" x14ac:dyDescent="0.3">
      <c r="A31" s="3">
        <v>2059</v>
      </c>
      <c r="B31" s="3">
        <v>370.19400000000002</v>
      </c>
      <c r="C31" s="3" t="s">
        <v>26</v>
      </c>
      <c r="D31" s="3">
        <v>0</v>
      </c>
      <c r="E31" s="3"/>
      <c r="F31" s="3">
        <v>130.95699999999999</v>
      </c>
      <c r="G31" s="3">
        <v>129.55099999999999</v>
      </c>
      <c r="H31" s="3">
        <v>370.19400000000002</v>
      </c>
      <c r="I31" s="3" t="s">
        <v>26</v>
      </c>
      <c r="J31" s="3">
        <v>0</v>
      </c>
      <c r="K31" s="3"/>
      <c r="L31" s="3">
        <v>130.95699999999999</v>
      </c>
      <c r="M31" s="3">
        <v>129.55099999999999</v>
      </c>
      <c r="N31" s="3">
        <v>370.19400000000002</v>
      </c>
      <c r="O31" s="3" t="s">
        <v>26</v>
      </c>
      <c r="P31" s="3">
        <v>0</v>
      </c>
      <c r="Q31" s="3"/>
      <c r="R31" s="3">
        <v>130.95699999999999</v>
      </c>
      <c r="S31" s="3">
        <v>130.846</v>
      </c>
    </row>
    <row r="32" spans="1:19" x14ac:dyDescent="0.3">
      <c r="A32" s="3">
        <v>2060</v>
      </c>
      <c r="B32" s="3">
        <v>367.49799999999999</v>
      </c>
      <c r="C32" s="3" t="s">
        <v>26</v>
      </c>
      <c r="D32" s="3">
        <v>0</v>
      </c>
      <c r="E32" s="3"/>
      <c r="F32" s="3">
        <v>135.52199999999999</v>
      </c>
      <c r="G32" s="3">
        <v>135.03700000000001</v>
      </c>
      <c r="H32" s="3">
        <v>367.49799999999999</v>
      </c>
      <c r="I32" s="3" t="s">
        <v>26</v>
      </c>
      <c r="J32" s="3">
        <v>0</v>
      </c>
      <c r="K32" s="3"/>
      <c r="L32" s="3">
        <v>135.52199999999999</v>
      </c>
      <c r="M32" s="3">
        <v>135.03700000000001</v>
      </c>
      <c r="N32" s="3">
        <v>367.49799999999999</v>
      </c>
      <c r="O32" s="3" t="s">
        <v>26</v>
      </c>
      <c r="P32" s="3">
        <v>0</v>
      </c>
      <c r="Q32" s="3"/>
      <c r="R32" s="3">
        <v>135.52199999999999</v>
      </c>
      <c r="S32" s="3">
        <v>136.16200000000001</v>
      </c>
    </row>
    <row r="33" spans="1:19" x14ac:dyDescent="0.3">
      <c r="A33" s="3">
        <v>2061</v>
      </c>
      <c r="B33" s="3">
        <v>3152.4079999999999</v>
      </c>
      <c r="C33" s="3" t="s">
        <v>20</v>
      </c>
      <c r="D33" s="3">
        <v>0</v>
      </c>
      <c r="E33" s="3"/>
      <c r="F33" s="3">
        <v>138.583</v>
      </c>
      <c r="G33" s="3">
        <v>144.88800000000001</v>
      </c>
      <c r="H33" s="3">
        <v>3152.4079999999999</v>
      </c>
      <c r="I33" s="3" t="s">
        <v>20</v>
      </c>
      <c r="J33" s="3">
        <v>0</v>
      </c>
      <c r="K33" s="3"/>
      <c r="L33" s="3">
        <v>138.583</v>
      </c>
      <c r="M33" s="3">
        <v>144.88800000000001</v>
      </c>
      <c r="N33" s="3">
        <v>3152.4079999999999</v>
      </c>
      <c r="O33" s="3" t="s">
        <v>20</v>
      </c>
      <c r="P33" s="3">
        <v>0</v>
      </c>
      <c r="Q33" s="3"/>
      <c r="R33" s="3">
        <v>138.583</v>
      </c>
      <c r="S33" s="3">
        <v>142.88499999999999</v>
      </c>
    </row>
  </sheetData>
  <mergeCells count="4">
    <mergeCell ref="A2:A3"/>
    <mergeCell ref="B2:G2"/>
    <mergeCell ref="H2:M2"/>
    <mergeCell ref="N2:S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발전량</vt:lpstr>
      <vt:lpstr>송전량</vt:lpstr>
      <vt:lpstr>이용률</vt:lpstr>
      <vt:lpstr>연료사용량</vt:lpstr>
      <vt:lpstr>발전비용</vt:lpstr>
      <vt:lpstr>정산금</vt:lpstr>
      <vt:lpstr>SMP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 동진</dc:creator>
  <cp:lastModifiedBy>윤 정원</cp:lastModifiedBy>
  <dcterms:created xsi:type="dcterms:W3CDTF">2025-10-15T09:27:23Z</dcterms:created>
  <dcterms:modified xsi:type="dcterms:W3CDTF">2026-03-15T10:41:23Z</dcterms:modified>
</cp:coreProperties>
</file>